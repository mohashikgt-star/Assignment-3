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tables/table2.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090cd524e88d4cfc/Desktop/"/>
    </mc:Choice>
  </mc:AlternateContent>
  <xr:revisionPtr revIDLastSave="0" documentId="8_{30E1FC1D-1413-4ECA-B37B-6CB717A94E52}" xr6:coauthVersionLast="47" xr6:coauthVersionMax="47" xr10:uidLastSave="{00000000-0000-0000-0000-000000000000}"/>
  <bookViews>
    <workbookView xWindow="-108" yWindow="-108" windowWidth="23256" windowHeight="12456" tabRatio="787" xr2:uid="{2115C0CA-6920-4125-9970-6504B64BA547}"/>
  </bookViews>
  <sheets>
    <sheet name="Dash Board" sheetId="12" r:id="rId1"/>
    <sheet name="HEALTHCARE" sheetId="2" r:id="rId2"/>
    <sheet name="Missing Values" sheetId="3" r:id="rId3"/>
    <sheet name="Smoker by cancer" sheetId="4" r:id="rId4"/>
    <sheet name="Transplant sheet" sheetId="5" r:id="rId5"/>
    <sheet name="Charges by Weight and Diabetics" sheetId="6" r:id="rId6"/>
    <sheet name="Hospital State Tier" sheetId="7" r:id="rId7"/>
    <sheet name="Average  Charges by Weight" sheetId="13" r:id="rId8"/>
    <sheet name="DIABETICS STATUS" sheetId="14" r:id="rId9"/>
    <sheet name="CANCER HISTORY" sheetId="16" r:id="rId10"/>
    <sheet name="WEIGHT STATUS" sheetId="15" r:id="rId11"/>
    <sheet name="ANY TRANSPLANT" sheetId="17" r:id="rId12"/>
    <sheet name="HEART ISSUE WEIGHT BY DIABETICS" sheetId="18" r:id="rId13"/>
    <sheet name="Corellation" sheetId="8" r:id="rId14"/>
  </sheets>
  <definedNames>
    <definedName name="ExternalData_1" localSheetId="1" hidden="1">HEALTHCARE!$A$1:$Q$704</definedName>
    <definedName name="Slicer_DIABETES_STATUS">#N/A</definedName>
    <definedName name="Slicer_HEART_ISSUES">#N/A</definedName>
    <definedName name="Slicer_WEIGHT_STATUS">#N/A</definedName>
  </definedNames>
  <calcPr calcId="191029"/>
  <pivotCaches>
    <pivotCache cacheId="114" r:id="rId15"/>
    <pivotCache cacheId="132"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8" l="1"/>
  <c r="E3" i="8"/>
  <c r="E2" i="8"/>
  <c r="D4" i="8"/>
  <c r="D3" i="8"/>
  <c r="D2" i="8"/>
  <c r="C4" i="8"/>
  <c r="C3" i="8"/>
  <c r="B4" i="8"/>
  <c r="B3" i="8"/>
  <c r="B2" i="8"/>
  <c r="C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516B02-B0B1-47FF-B8E3-A1D36D9B4F90}" keepAlive="1" name="Query - HEALTHCARE" description="Connection to the 'HEALTHCARE' query in the workbook." type="5" refreshedVersion="8" background="1" saveData="1">
    <dbPr connection="Provider=Microsoft.Mashup.OleDb.1;Data Source=$Workbook$;Location=HEALTHCARE;Extended Properties=&quot;&quot;" command="SELECT * FROM [HEALTHCARE]"/>
  </connection>
</connections>
</file>

<file path=xl/sharedStrings.xml><?xml version="1.0" encoding="utf-8"?>
<sst xmlns="http://schemas.openxmlformats.org/spreadsheetml/2006/main" count="7888" uniqueCount="1444">
  <si>
    <t>Customer ID</t>
  </si>
  <si>
    <t>FIRST NAME</t>
  </si>
  <si>
    <t>BMI</t>
  </si>
  <si>
    <t>HBA1C</t>
  </si>
  <si>
    <t>HEART ISSUES</t>
  </si>
  <si>
    <t>ANY TRANSPLANT</t>
  </si>
  <si>
    <t>CANCER HISTORY</t>
  </si>
  <si>
    <t>NUMBEROFMAJORSURJERIES</t>
  </si>
  <si>
    <t>SMOKER</t>
  </si>
  <si>
    <t>WEIGHT STATUS</t>
  </si>
  <si>
    <t>DIABETES STATUS</t>
  </si>
  <si>
    <t>DATE OF BIRTH</t>
  </si>
  <si>
    <t>CHARGES</t>
  </si>
  <si>
    <t>HOSPITAL TIER</t>
  </si>
  <si>
    <t>CITY TIER</t>
  </si>
  <si>
    <t>STATE ID</t>
  </si>
  <si>
    <t>AGE</t>
  </si>
  <si>
    <t>Id1</t>
  </si>
  <si>
    <t>Hawks</t>
  </si>
  <si>
    <t>No</t>
  </si>
  <si>
    <t>Yes</t>
  </si>
  <si>
    <t>Obesity</t>
  </si>
  <si>
    <t>Diabetes</t>
  </si>
  <si>
    <t>tier - 1</t>
  </si>
  <si>
    <t>tier - 3</t>
  </si>
  <si>
    <t>R1013</t>
  </si>
  <si>
    <t>Id2</t>
  </si>
  <si>
    <t>Lehner</t>
  </si>
  <si>
    <t>Prediabetes</t>
  </si>
  <si>
    <t>tier - 2</t>
  </si>
  <si>
    <t>Id3</t>
  </si>
  <si>
    <t>Lu</t>
  </si>
  <si>
    <t>yes</t>
  </si>
  <si>
    <t>R1012</t>
  </si>
  <si>
    <t>Id4</t>
  </si>
  <si>
    <t>Osborne</t>
  </si>
  <si>
    <t>R1024</t>
  </si>
  <si>
    <t>Id5</t>
  </si>
  <si>
    <t>Kadala</t>
  </si>
  <si>
    <t>Normal</t>
  </si>
  <si>
    <t>Id6</t>
  </si>
  <si>
    <t>Baker</t>
  </si>
  <si>
    <t>R1011</t>
  </si>
  <si>
    <t>Id7</t>
  </si>
  <si>
    <t>Macpherson</t>
  </si>
  <si>
    <t>Id8</t>
  </si>
  <si>
    <t>Hallman</t>
  </si>
  <si>
    <t>Id9</t>
  </si>
  <si>
    <t>Moran</t>
  </si>
  <si>
    <t>Id10</t>
  </si>
  <si>
    <t>Benner</t>
  </si>
  <si>
    <t>Id11</t>
  </si>
  <si>
    <t>Fierro Vargas</t>
  </si>
  <si>
    <t>Id12</t>
  </si>
  <si>
    <t>Franz</t>
  </si>
  <si>
    <t>Id13</t>
  </si>
  <si>
    <t>Foster</t>
  </si>
  <si>
    <t>Id14</t>
  </si>
  <si>
    <t>Tenorio</t>
  </si>
  <si>
    <t>R1016</t>
  </si>
  <si>
    <t>Id15</t>
  </si>
  <si>
    <t>Rios</t>
  </si>
  <si>
    <t>Id16</t>
  </si>
  <si>
    <t>Viau-Dupuis</t>
  </si>
  <si>
    <t>Id17</t>
  </si>
  <si>
    <t>Cronin</t>
  </si>
  <si>
    <t>Id18</t>
  </si>
  <si>
    <t>Noordstar</t>
  </si>
  <si>
    <t>Id19</t>
  </si>
  <si>
    <t>Boudalia</t>
  </si>
  <si>
    <t>Id20</t>
  </si>
  <si>
    <t>Flor</t>
  </si>
  <si>
    <t>Id21</t>
  </si>
  <si>
    <t>Fennon</t>
  </si>
  <si>
    <t>Id22</t>
  </si>
  <si>
    <t>Hribar</t>
  </si>
  <si>
    <t>Id23</t>
  </si>
  <si>
    <t>Tassello</t>
  </si>
  <si>
    <t>Id24</t>
  </si>
  <si>
    <t>Mauricette</t>
  </si>
  <si>
    <t>Id25</t>
  </si>
  <si>
    <t>Garcia</t>
  </si>
  <si>
    <t>Id26</t>
  </si>
  <si>
    <t>Airoldi</t>
  </si>
  <si>
    <t>Id27</t>
  </si>
  <si>
    <t>Cater-Cyker</t>
  </si>
  <si>
    <t>Id28</t>
  </si>
  <si>
    <t>Hamm</t>
  </si>
  <si>
    <t>Id29</t>
  </si>
  <si>
    <t>Cox</t>
  </si>
  <si>
    <t>Id30</t>
  </si>
  <si>
    <t>Sachrajda</t>
  </si>
  <si>
    <t>Id31</t>
  </si>
  <si>
    <t>Gareri</t>
  </si>
  <si>
    <t>Id32</t>
  </si>
  <si>
    <t>Welch</t>
  </si>
  <si>
    <t>Id33</t>
  </si>
  <si>
    <t>Prindiville</t>
  </si>
  <si>
    <t>Id34</t>
  </si>
  <si>
    <t>Kincaid</t>
  </si>
  <si>
    <t>Id35</t>
  </si>
  <si>
    <t>Bruestle</t>
  </si>
  <si>
    <t>Id36</t>
  </si>
  <si>
    <t>Lachance</t>
  </si>
  <si>
    <t>Id37</t>
  </si>
  <si>
    <t>Eason</t>
  </si>
  <si>
    <t>Id38</t>
  </si>
  <si>
    <t>Grummon</t>
  </si>
  <si>
    <t>Id39</t>
  </si>
  <si>
    <t>Vanwechel</t>
  </si>
  <si>
    <t>Id40</t>
  </si>
  <si>
    <t>Fisher</t>
  </si>
  <si>
    <t>Id41</t>
  </si>
  <si>
    <t>Jenkins</t>
  </si>
  <si>
    <t>Id42</t>
  </si>
  <si>
    <t>Peters</t>
  </si>
  <si>
    <t>Id43</t>
  </si>
  <si>
    <t>Aha</t>
  </si>
  <si>
    <t>Id44</t>
  </si>
  <si>
    <t>Mcelwain</t>
  </si>
  <si>
    <t>Id45</t>
  </si>
  <si>
    <t>Januszewski</t>
  </si>
  <si>
    <t>Id46</t>
  </si>
  <si>
    <t>Rohne</t>
  </si>
  <si>
    <t>Id47</t>
  </si>
  <si>
    <t>O'Grady</t>
  </si>
  <si>
    <t>Id48</t>
  </si>
  <si>
    <t>Id49</t>
  </si>
  <si>
    <t>De Simone</t>
  </si>
  <si>
    <t>Id50</t>
  </si>
  <si>
    <t>Beckett</t>
  </si>
  <si>
    <t>Id51</t>
  </si>
  <si>
    <t>Sobrilsky</t>
  </si>
  <si>
    <t>R1015</t>
  </si>
  <si>
    <t>Id52</t>
  </si>
  <si>
    <t>Wang</t>
  </si>
  <si>
    <t>Id53</t>
  </si>
  <si>
    <t>Campa</t>
  </si>
  <si>
    <t>Id54</t>
  </si>
  <si>
    <t>Clifford</t>
  </si>
  <si>
    <t>Id55</t>
  </si>
  <si>
    <t>Dalmata</t>
  </si>
  <si>
    <t>Id56</t>
  </si>
  <si>
    <t>Vishik</t>
  </si>
  <si>
    <t>Id57</t>
  </si>
  <si>
    <t>Schorr</t>
  </si>
  <si>
    <t>Id58</t>
  </si>
  <si>
    <t>Lusardi</t>
  </si>
  <si>
    <t>Id59</t>
  </si>
  <si>
    <t>Rayner</t>
  </si>
  <si>
    <t>Id60</t>
  </si>
  <si>
    <t>Voghel</t>
  </si>
  <si>
    <t>Id61</t>
  </si>
  <si>
    <t>Rieth</t>
  </si>
  <si>
    <t>Id62</t>
  </si>
  <si>
    <t>Gollotto</t>
  </si>
  <si>
    <t>Id63</t>
  </si>
  <si>
    <t>Dunn</t>
  </si>
  <si>
    <t>Id64</t>
  </si>
  <si>
    <t>Blitzer</t>
  </si>
  <si>
    <t>Id65</t>
  </si>
  <si>
    <t>Smith</t>
  </si>
  <si>
    <t>Id66</t>
  </si>
  <si>
    <t>Hyland</t>
  </si>
  <si>
    <t>Id67</t>
  </si>
  <si>
    <t>Ducharme</t>
  </si>
  <si>
    <t>Id68</t>
  </si>
  <si>
    <t>Johnson</t>
  </si>
  <si>
    <t>Id69</t>
  </si>
  <si>
    <t>Mutz</t>
  </si>
  <si>
    <t>Id70</t>
  </si>
  <si>
    <t>Lee</t>
  </si>
  <si>
    <t>Id71</t>
  </si>
  <si>
    <t>Turner</t>
  </si>
  <si>
    <t>Id72</t>
  </si>
  <si>
    <t>Rangel</t>
  </si>
  <si>
    <t>Id73</t>
  </si>
  <si>
    <t>Lacey</t>
  </si>
  <si>
    <t>Id74</t>
  </si>
  <si>
    <t>Stiger</t>
  </si>
  <si>
    <t>Id75</t>
  </si>
  <si>
    <t>Caldwell</t>
  </si>
  <si>
    <t>Id76</t>
  </si>
  <si>
    <t>Marmillod</t>
  </si>
  <si>
    <t>Id77</t>
  </si>
  <si>
    <t>Cloutier-Simons</t>
  </si>
  <si>
    <t>Id78</t>
  </si>
  <si>
    <t>Vegas</t>
  </si>
  <si>
    <t>Id79</t>
  </si>
  <si>
    <t>Cochran</t>
  </si>
  <si>
    <t>Id80</t>
  </si>
  <si>
    <t>Holtzapple</t>
  </si>
  <si>
    <t>Id81</t>
  </si>
  <si>
    <t>Meyer</t>
  </si>
  <si>
    <t>Id82</t>
  </si>
  <si>
    <t>Brickley</t>
  </si>
  <si>
    <t>Id83</t>
  </si>
  <si>
    <t>Magee</t>
  </si>
  <si>
    <t>Id84</t>
  </si>
  <si>
    <t>Thoma</t>
  </si>
  <si>
    <t>Id85</t>
  </si>
  <si>
    <t>Heagy</t>
  </si>
  <si>
    <t>Id86</t>
  </si>
  <si>
    <t>Regnier</t>
  </si>
  <si>
    <t>Id87</t>
  </si>
  <si>
    <t>Parendo</t>
  </si>
  <si>
    <t>R1017</t>
  </si>
  <si>
    <t>Id88</t>
  </si>
  <si>
    <t>Schell</t>
  </si>
  <si>
    <t>Id89</t>
  </si>
  <si>
    <t>Driscoll</t>
  </si>
  <si>
    <t>Id90</t>
  </si>
  <si>
    <t>Mitchell</t>
  </si>
  <si>
    <t>Id91</t>
  </si>
  <si>
    <t>Cutler</t>
  </si>
  <si>
    <t>Id92</t>
  </si>
  <si>
    <t>Derian</t>
  </si>
  <si>
    <t>Id93</t>
  </si>
  <si>
    <t>Farina</t>
  </si>
  <si>
    <t>Id94</t>
  </si>
  <si>
    <t>Saunders</t>
  </si>
  <si>
    <t>Id95</t>
  </si>
  <si>
    <t>Kratz</t>
  </si>
  <si>
    <t>Id96</t>
  </si>
  <si>
    <t>Boland</t>
  </si>
  <si>
    <t>Id97</t>
  </si>
  <si>
    <t>Van Hout</t>
  </si>
  <si>
    <t>Id98</t>
  </si>
  <si>
    <t>Ramsey</t>
  </si>
  <si>
    <t>Id99</t>
  </si>
  <si>
    <t>Gage</t>
  </si>
  <si>
    <t>Id100</t>
  </si>
  <si>
    <t>Gollins</t>
  </si>
  <si>
    <t>Id101</t>
  </si>
  <si>
    <t>Benestad</t>
  </si>
  <si>
    <t>Id102</t>
  </si>
  <si>
    <t>Aviv</t>
  </si>
  <si>
    <t>Id103</t>
  </si>
  <si>
    <t>Burns</t>
  </si>
  <si>
    <t>Id104</t>
  </si>
  <si>
    <t>Maldonado</t>
  </si>
  <si>
    <t>Id105</t>
  </si>
  <si>
    <t>Yitref</t>
  </si>
  <si>
    <t>Id106</t>
  </si>
  <si>
    <t>Loudon-Brown</t>
  </si>
  <si>
    <t>Id107</t>
  </si>
  <si>
    <t>Sugathadasa</t>
  </si>
  <si>
    <t>Id108</t>
  </si>
  <si>
    <t>Ganley</t>
  </si>
  <si>
    <t>Id109</t>
  </si>
  <si>
    <t>Potter</t>
  </si>
  <si>
    <t>Id110</t>
  </si>
  <si>
    <t>Rasmussen</t>
  </si>
  <si>
    <t>Id111</t>
  </si>
  <si>
    <t>Robinson</t>
  </si>
  <si>
    <t>Id112</t>
  </si>
  <si>
    <t>Antonopoulos</t>
  </si>
  <si>
    <t>Id113</t>
  </si>
  <si>
    <t>Groner</t>
  </si>
  <si>
    <t>Id114</t>
  </si>
  <si>
    <t>Zywicki</t>
  </si>
  <si>
    <t>R1014</t>
  </si>
  <si>
    <t>Id115</t>
  </si>
  <si>
    <t>Cardinal</t>
  </si>
  <si>
    <t>Id116</t>
  </si>
  <si>
    <t>Alleman</t>
  </si>
  <si>
    <t>Id117</t>
  </si>
  <si>
    <t>Stroffolino</t>
  </si>
  <si>
    <t>Id118</t>
  </si>
  <si>
    <t>Clubb</t>
  </si>
  <si>
    <t>Id119</t>
  </si>
  <si>
    <t>Mcgoogan</t>
  </si>
  <si>
    <t>Id120</t>
  </si>
  <si>
    <t>Keflezighi</t>
  </si>
  <si>
    <t>Id121</t>
  </si>
  <si>
    <t>Syed</t>
  </si>
  <si>
    <t>Id122</t>
  </si>
  <si>
    <t>Segal</t>
  </si>
  <si>
    <t>Id123</t>
  </si>
  <si>
    <t>Defranco</t>
  </si>
  <si>
    <t>Id124</t>
  </si>
  <si>
    <t>Kells</t>
  </si>
  <si>
    <t>Id125</t>
  </si>
  <si>
    <t>Lawton</t>
  </si>
  <si>
    <t>Id126</t>
  </si>
  <si>
    <t>Bejar</t>
  </si>
  <si>
    <t>Id127</t>
  </si>
  <si>
    <t>Navarro Castro</t>
  </si>
  <si>
    <t>Id128</t>
  </si>
  <si>
    <t>Tice</t>
  </si>
  <si>
    <t>Id129</t>
  </si>
  <si>
    <t>Wolf</t>
  </si>
  <si>
    <t>Id130</t>
  </si>
  <si>
    <t>Oppedal</t>
  </si>
  <si>
    <t>Id131</t>
  </si>
  <si>
    <t>Wright</t>
  </si>
  <si>
    <t>Id132</t>
  </si>
  <si>
    <t>Ellis</t>
  </si>
  <si>
    <t>Id133</t>
  </si>
  <si>
    <t>Taormina</t>
  </si>
  <si>
    <t>Id134</t>
  </si>
  <si>
    <t>Lynch</t>
  </si>
  <si>
    <t>Id135</t>
  </si>
  <si>
    <t>Tavella</t>
  </si>
  <si>
    <t>Id136</t>
  </si>
  <si>
    <t>Neufeld</t>
  </si>
  <si>
    <t>Id137</t>
  </si>
  <si>
    <t>Walhovd</t>
  </si>
  <si>
    <t>Id138</t>
  </si>
  <si>
    <t>Washburn</t>
  </si>
  <si>
    <t>Id139</t>
  </si>
  <si>
    <t>Mroz</t>
  </si>
  <si>
    <t>Id140</t>
  </si>
  <si>
    <t>Canaday</t>
  </si>
  <si>
    <t>Id141</t>
  </si>
  <si>
    <t>Atkins</t>
  </si>
  <si>
    <t>Id142</t>
  </si>
  <si>
    <t>Kropelnicki</t>
  </si>
  <si>
    <t>Id143</t>
  </si>
  <si>
    <t>Braund</t>
  </si>
  <si>
    <t>Id144</t>
  </si>
  <si>
    <t>Anderson</t>
  </si>
  <si>
    <t>Id145</t>
  </si>
  <si>
    <t>Bilbrey</t>
  </si>
  <si>
    <t>Id146</t>
  </si>
  <si>
    <t>Curtis</t>
  </si>
  <si>
    <t>Id147</t>
  </si>
  <si>
    <t>Id148</t>
  </si>
  <si>
    <t>Bardeesy</t>
  </si>
  <si>
    <t>Id149</t>
  </si>
  <si>
    <t>Shanahan</t>
  </si>
  <si>
    <t>Id150</t>
  </si>
  <si>
    <t>Sutter</t>
  </si>
  <si>
    <t>Over Weight</t>
  </si>
  <si>
    <t>Id151</t>
  </si>
  <si>
    <t>Yesian</t>
  </si>
  <si>
    <t>Id152</t>
  </si>
  <si>
    <t>Meers</t>
  </si>
  <si>
    <t>Id153</t>
  </si>
  <si>
    <t>Conlon</t>
  </si>
  <si>
    <t>Id154</t>
  </si>
  <si>
    <t>Arnstein</t>
  </si>
  <si>
    <t>Id155</t>
  </si>
  <si>
    <t>Jurek</t>
  </si>
  <si>
    <t>Id156</t>
  </si>
  <si>
    <t>Thill</t>
  </si>
  <si>
    <t>Id157</t>
  </si>
  <si>
    <t>Glaz</t>
  </si>
  <si>
    <t>Id158</t>
  </si>
  <si>
    <t>Sampson</t>
  </si>
  <si>
    <t>Id159</t>
  </si>
  <si>
    <t>Duliba</t>
  </si>
  <si>
    <t>Id160</t>
  </si>
  <si>
    <t>Tanguay</t>
  </si>
  <si>
    <t>R1023</t>
  </si>
  <si>
    <t>Id161</t>
  </si>
  <si>
    <t>Mcclelland</t>
  </si>
  <si>
    <t>Id162</t>
  </si>
  <si>
    <t>Gorman</t>
  </si>
  <si>
    <t>Id163</t>
  </si>
  <si>
    <t>Nishimura</t>
  </si>
  <si>
    <t>R1019</t>
  </si>
  <si>
    <t>Id164</t>
  </si>
  <si>
    <t>Brimble</t>
  </si>
  <si>
    <t>Id165</t>
  </si>
  <si>
    <t>Trenk</t>
  </si>
  <si>
    <t>Id166</t>
  </si>
  <si>
    <t>Wittmann</t>
  </si>
  <si>
    <t>Id167</t>
  </si>
  <si>
    <t>Tremblay</t>
  </si>
  <si>
    <t>Id168</t>
  </si>
  <si>
    <t>Scofield</t>
  </si>
  <si>
    <t>Id169</t>
  </si>
  <si>
    <t>Yost</t>
  </si>
  <si>
    <t>Id170</t>
  </si>
  <si>
    <t>Torphy</t>
  </si>
  <si>
    <t>Id171</t>
  </si>
  <si>
    <t>Busby</t>
  </si>
  <si>
    <t>unknown</t>
  </si>
  <si>
    <t>Id172</t>
  </si>
  <si>
    <t>Nguyen</t>
  </si>
  <si>
    <t>Id173</t>
  </si>
  <si>
    <t>Hanley</t>
  </si>
  <si>
    <t>Id174</t>
  </si>
  <si>
    <t>Scheer</t>
  </si>
  <si>
    <t>Id175</t>
  </si>
  <si>
    <t>Rankin</t>
  </si>
  <si>
    <t>Id176</t>
  </si>
  <si>
    <t>Ricardi</t>
  </si>
  <si>
    <t>Id177</t>
  </si>
  <si>
    <t>Karkos</t>
  </si>
  <si>
    <t>Id178</t>
  </si>
  <si>
    <t>Price-Dierksen</t>
  </si>
  <si>
    <t>Id179</t>
  </si>
  <si>
    <t>Knispel</t>
  </si>
  <si>
    <t>Id180</t>
  </si>
  <si>
    <t>King</t>
  </si>
  <si>
    <t>Id181</t>
  </si>
  <si>
    <t>Samuelson</t>
  </si>
  <si>
    <t>Id182</t>
  </si>
  <si>
    <t>Fredsall</t>
  </si>
  <si>
    <t>Id183</t>
  </si>
  <si>
    <t>Eggleston</t>
  </si>
  <si>
    <t>Id184</t>
  </si>
  <si>
    <t>Palombaro</t>
  </si>
  <si>
    <t>Id185</t>
  </si>
  <si>
    <t>Silva</t>
  </si>
  <si>
    <t>Id186</t>
  </si>
  <si>
    <t>Bugala</t>
  </si>
  <si>
    <t>Id187</t>
  </si>
  <si>
    <t>Dublin</t>
  </si>
  <si>
    <t>Id188</t>
  </si>
  <si>
    <t>Cleland</t>
  </si>
  <si>
    <t>Id189</t>
  </si>
  <si>
    <t>Evans</t>
  </si>
  <si>
    <t>Id190</t>
  </si>
  <si>
    <t>Boyd</t>
  </si>
  <si>
    <t>Id191</t>
  </si>
  <si>
    <t>Roulier</t>
  </si>
  <si>
    <t>Id192</t>
  </si>
  <si>
    <t>Mullins</t>
  </si>
  <si>
    <t>Id193</t>
  </si>
  <si>
    <t>Hofmann</t>
  </si>
  <si>
    <t>Id194</t>
  </si>
  <si>
    <t>Garcia Garcia</t>
  </si>
  <si>
    <t>Id195</t>
  </si>
  <si>
    <t>Klecker</t>
  </si>
  <si>
    <t>Id196</t>
  </si>
  <si>
    <t>Cancre</t>
  </si>
  <si>
    <t>Id197</t>
  </si>
  <si>
    <t>Denucci</t>
  </si>
  <si>
    <t>Id198</t>
  </si>
  <si>
    <t>Saldana</t>
  </si>
  <si>
    <t>Id199</t>
  </si>
  <si>
    <t>Weinberg</t>
  </si>
  <si>
    <t>Id200</t>
  </si>
  <si>
    <t>Walsh</t>
  </si>
  <si>
    <t>Id201</t>
  </si>
  <si>
    <t>Pasten</t>
  </si>
  <si>
    <t>Id202</t>
  </si>
  <si>
    <t>Labelle</t>
  </si>
  <si>
    <t>Id203</t>
  </si>
  <si>
    <t>Guzman</t>
  </si>
  <si>
    <t>Id204</t>
  </si>
  <si>
    <t>Turnbull</t>
  </si>
  <si>
    <t>Id205</t>
  </si>
  <si>
    <t>Aguero</t>
  </si>
  <si>
    <t>Id206</t>
  </si>
  <si>
    <t>Woodward</t>
  </si>
  <si>
    <t>Id207</t>
  </si>
  <si>
    <t>Mcelroy</t>
  </si>
  <si>
    <t>Id208</t>
  </si>
  <si>
    <t>Lopez</t>
  </si>
  <si>
    <t>Id209</t>
  </si>
  <si>
    <t>Cardosi</t>
  </si>
  <si>
    <t>Id210</t>
  </si>
  <si>
    <t>Looney</t>
  </si>
  <si>
    <t>Id211</t>
  </si>
  <si>
    <t>Zyryanov</t>
  </si>
  <si>
    <t>Id212</t>
  </si>
  <si>
    <t>Gavin</t>
  </si>
  <si>
    <t>Id213</t>
  </si>
  <si>
    <t>Littlefield</t>
  </si>
  <si>
    <t>Id214</t>
  </si>
  <si>
    <t>Shearer</t>
  </si>
  <si>
    <t>Id215</t>
  </si>
  <si>
    <t>Armstrong</t>
  </si>
  <si>
    <t>Id216</t>
  </si>
  <si>
    <t>Warriner</t>
  </si>
  <si>
    <t>Id217</t>
  </si>
  <si>
    <t>White</t>
  </si>
  <si>
    <t>Id218</t>
  </si>
  <si>
    <t>Cordaro</t>
  </si>
  <si>
    <t>Id219</t>
  </si>
  <si>
    <t>Hamilton</t>
  </si>
  <si>
    <t>Id220</t>
  </si>
  <si>
    <t>Id221</t>
  </si>
  <si>
    <t>Duke</t>
  </si>
  <si>
    <t>Id222</t>
  </si>
  <si>
    <t>Malatesta</t>
  </si>
  <si>
    <t>Id223</t>
  </si>
  <si>
    <t>Hinrichsen</t>
  </si>
  <si>
    <t>Normal Weight</t>
  </si>
  <si>
    <t>Id224</t>
  </si>
  <si>
    <t>Lucan</t>
  </si>
  <si>
    <t>Id225</t>
  </si>
  <si>
    <t>Koch</t>
  </si>
  <si>
    <t>Id226</t>
  </si>
  <si>
    <t>Id227</t>
  </si>
  <si>
    <t>O'Connor</t>
  </si>
  <si>
    <t>Id228</t>
  </si>
  <si>
    <t>Kampwerth</t>
  </si>
  <si>
    <t>Id229</t>
  </si>
  <si>
    <t>Federoff</t>
  </si>
  <si>
    <t>Id230</t>
  </si>
  <si>
    <t>Goya</t>
  </si>
  <si>
    <t>Id231</t>
  </si>
  <si>
    <t>Hodges</t>
  </si>
  <si>
    <t>Id232</t>
  </si>
  <si>
    <t>Erickson</t>
  </si>
  <si>
    <t>Id233</t>
  </si>
  <si>
    <t>Welleck</t>
  </si>
  <si>
    <t>Id234</t>
  </si>
  <si>
    <t>Polen</t>
  </si>
  <si>
    <t>Id235</t>
  </si>
  <si>
    <t>Id236</t>
  </si>
  <si>
    <t>Hufstader</t>
  </si>
  <si>
    <t>Id237</t>
  </si>
  <si>
    <t>Doak</t>
  </si>
  <si>
    <t>Id238</t>
  </si>
  <si>
    <t>Noya</t>
  </si>
  <si>
    <t>Id239</t>
  </si>
  <si>
    <t>Heninger</t>
  </si>
  <si>
    <t>Id240</t>
  </si>
  <si>
    <t>Richardson</t>
  </si>
  <si>
    <t>Id241</t>
  </si>
  <si>
    <t>Deucher</t>
  </si>
  <si>
    <t>Id242</t>
  </si>
  <si>
    <t>Wilson</t>
  </si>
  <si>
    <t>Id243</t>
  </si>
  <si>
    <t>Hall</t>
  </si>
  <si>
    <t>Id244</t>
  </si>
  <si>
    <t>Reed</t>
  </si>
  <si>
    <t>Id245</t>
  </si>
  <si>
    <t>Frome</t>
  </si>
  <si>
    <t>Id246</t>
  </si>
  <si>
    <t>Creasy</t>
  </si>
  <si>
    <t>Id247</t>
  </si>
  <si>
    <t>Latimer</t>
  </si>
  <si>
    <t>Id248</t>
  </si>
  <si>
    <t>Wei</t>
  </si>
  <si>
    <t>Id249</t>
  </si>
  <si>
    <t>Hayes</t>
  </si>
  <si>
    <t>Id250</t>
  </si>
  <si>
    <t>Velardo</t>
  </si>
  <si>
    <t>Id251</t>
  </si>
  <si>
    <t>Kastes</t>
  </si>
  <si>
    <t>Id252</t>
  </si>
  <si>
    <t>Escorcia</t>
  </si>
  <si>
    <t>Id253</t>
  </si>
  <si>
    <t>Larscheid</t>
  </si>
  <si>
    <t>Id254</t>
  </si>
  <si>
    <t>O'Bannon</t>
  </si>
  <si>
    <t>Id255</t>
  </si>
  <si>
    <t>Ridgway</t>
  </si>
  <si>
    <t>Id256</t>
  </si>
  <si>
    <t>Black</t>
  </si>
  <si>
    <t>Id257</t>
  </si>
  <si>
    <t>Canton</t>
  </si>
  <si>
    <t>Id258</t>
  </si>
  <si>
    <t>Fine</t>
  </si>
  <si>
    <t>Id259</t>
  </si>
  <si>
    <t>Bui</t>
  </si>
  <si>
    <t>Id260</t>
  </si>
  <si>
    <t>Riepma</t>
  </si>
  <si>
    <t>Id261</t>
  </si>
  <si>
    <t>Inman</t>
  </si>
  <si>
    <t>Id262</t>
  </si>
  <si>
    <t>Kruzel</t>
  </si>
  <si>
    <t>Id263</t>
  </si>
  <si>
    <t>Lindsay</t>
  </si>
  <si>
    <t>Id264</t>
  </si>
  <si>
    <t>Land</t>
  </si>
  <si>
    <t>Id265</t>
  </si>
  <si>
    <t>Brecher</t>
  </si>
  <si>
    <t>R1018</t>
  </si>
  <si>
    <t>Id266</t>
  </si>
  <si>
    <t>Debolt</t>
  </si>
  <si>
    <t>Id267</t>
  </si>
  <si>
    <t>Oswalt</t>
  </si>
  <si>
    <t>Id268</t>
  </si>
  <si>
    <t>Id269</t>
  </si>
  <si>
    <t>Bulewich</t>
  </si>
  <si>
    <t>Id270</t>
  </si>
  <si>
    <t>Fukuda</t>
  </si>
  <si>
    <t>Id271</t>
  </si>
  <si>
    <t>Phillips</t>
  </si>
  <si>
    <t>Id272</t>
  </si>
  <si>
    <t>Maddison</t>
  </si>
  <si>
    <t>Id273</t>
  </si>
  <si>
    <t>Lockwood</t>
  </si>
  <si>
    <t>Id274</t>
  </si>
  <si>
    <t>Defilippi</t>
  </si>
  <si>
    <t>Id275</t>
  </si>
  <si>
    <t>Jackson</t>
  </si>
  <si>
    <t>Id276</t>
  </si>
  <si>
    <t>Ozahowski</t>
  </si>
  <si>
    <t>Id277</t>
  </si>
  <si>
    <t>Guthals</t>
  </si>
  <si>
    <t>Id278</t>
  </si>
  <si>
    <t>Yates</t>
  </si>
  <si>
    <t>Id279</t>
  </si>
  <si>
    <t>Underweight</t>
  </si>
  <si>
    <t>Id280</t>
  </si>
  <si>
    <t>Lemos</t>
  </si>
  <si>
    <t>Id281</t>
  </si>
  <si>
    <t>Seynders</t>
  </si>
  <si>
    <t>Id282</t>
  </si>
  <si>
    <t>Id283</t>
  </si>
  <si>
    <t>Walker</t>
  </si>
  <si>
    <t>Id284</t>
  </si>
  <si>
    <t>Lam</t>
  </si>
  <si>
    <t>Id285</t>
  </si>
  <si>
    <t>Sweigart</t>
  </si>
  <si>
    <t>Id286</t>
  </si>
  <si>
    <t>Sieczkowski</t>
  </si>
  <si>
    <t>Id287</t>
  </si>
  <si>
    <t>Jurgens</t>
  </si>
  <si>
    <t>Id288</t>
  </si>
  <si>
    <t>Hackman</t>
  </si>
  <si>
    <t>Id289</t>
  </si>
  <si>
    <t>Klarich</t>
  </si>
  <si>
    <t>Id290</t>
  </si>
  <si>
    <t>Schulten</t>
  </si>
  <si>
    <t>Id291</t>
  </si>
  <si>
    <t>Fagerstrom</t>
  </si>
  <si>
    <t>Id292</t>
  </si>
  <si>
    <t>Bien</t>
  </si>
  <si>
    <t>Id293</t>
  </si>
  <si>
    <t>Hess</t>
  </si>
  <si>
    <t>Id294</t>
  </si>
  <si>
    <t>Shaw</t>
  </si>
  <si>
    <t>Id295</t>
  </si>
  <si>
    <t>Williams</t>
  </si>
  <si>
    <t>Id296</t>
  </si>
  <si>
    <t>Menzies</t>
  </si>
  <si>
    <t>Id297</t>
  </si>
  <si>
    <t>Buehler</t>
  </si>
  <si>
    <t>Id298</t>
  </si>
  <si>
    <t>Degen</t>
  </si>
  <si>
    <t>Id299</t>
  </si>
  <si>
    <t>Arsenault</t>
  </si>
  <si>
    <t>Id300</t>
  </si>
  <si>
    <t>Hoff</t>
  </si>
  <si>
    <t>Id301</t>
  </si>
  <si>
    <t>Id302</t>
  </si>
  <si>
    <t>Ashley</t>
  </si>
  <si>
    <t>Id303</t>
  </si>
  <si>
    <t>Rindahl</t>
  </si>
  <si>
    <t>Id304</t>
  </si>
  <si>
    <t>Clark</t>
  </si>
  <si>
    <t>Id305</t>
  </si>
  <si>
    <t>Irish</t>
  </si>
  <si>
    <t>Id306</t>
  </si>
  <si>
    <t>Id307</t>
  </si>
  <si>
    <t>Dewitt</t>
  </si>
  <si>
    <t>Id308</t>
  </si>
  <si>
    <t>Hickman</t>
  </si>
  <si>
    <t>Id309</t>
  </si>
  <si>
    <t>Gonzalez</t>
  </si>
  <si>
    <t>Id310</t>
  </si>
  <si>
    <t>Difani</t>
  </si>
  <si>
    <t>Id311</t>
  </si>
  <si>
    <t>Id312</t>
  </si>
  <si>
    <t>Widmann</t>
  </si>
  <si>
    <t>Id313</t>
  </si>
  <si>
    <t>Tunney</t>
  </si>
  <si>
    <t>Id314</t>
  </si>
  <si>
    <t>San Juan</t>
  </si>
  <si>
    <t>Id315</t>
  </si>
  <si>
    <t>Croll</t>
  </si>
  <si>
    <t>Id316</t>
  </si>
  <si>
    <t>Rolfes</t>
  </si>
  <si>
    <t>Id317</t>
  </si>
  <si>
    <t>Hinkle</t>
  </si>
  <si>
    <t>Id318</t>
  </si>
  <si>
    <t>Leuchanka</t>
  </si>
  <si>
    <t>Id319</t>
  </si>
  <si>
    <t>Ayr</t>
  </si>
  <si>
    <t>Id320</t>
  </si>
  <si>
    <t>Siegel</t>
  </si>
  <si>
    <t>Id321</t>
  </si>
  <si>
    <t>Penrose</t>
  </si>
  <si>
    <t>Id322</t>
  </si>
  <si>
    <t>Schuler</t>
  </si>
  <si>
    <t>Id323</t>
  </si>
  <si>
    <t>Id324</t>
  </si>
  <si>
    <t>Stange</t>
  </si>
  <si>
    <t>Id325</t>
  </si>
  <si>
    <t>Roy</t>
  </si>
  <si>
    <t>Id326</t>
  </si>
  <si>
    <t>Potere</t>
  </si>
  <si>
    <t>Id327</t>
  </si>
  <si>
    <t>Podgurski</t>
  </si>
  <si>
    <t>Id328</t>
  </si>
  <si>
    <t>Diamond</t>
  </si>
  <si>
    <t>Id329</t>
  </si>
  <si>
    <t>Sallade</t>
  </si>
  <si>
    <t>Id330</t>
  </si>
  <si>
    <t>Zhang</t>
  </si>
  <si>
    <t>Id331</t>
  </si>
  <si>
    <t>Chatfield</t>
  </si>
  <si>
    <t>Id332</t>
  </si>
  <si>
    <t>Bruns</t>
  </si>
  <si>
    <t>Id333</t>
  </si>
  <si>
    <t>Yochum</t>
  </si>
  <si>
    <t>Id334</t>
  </si>
  <si>
    <t>Freeburn</t>
  </si>
  <si>
    <t>Id335</t>
  </si>
  <si>
    <t>Spencer</t>
  </si>
  <si>
    <t>Id336</t>
  </si>
  <si>
    <t>Jarosik</t>
  </si>
  <si>
    <t>Id337</t>
  </si>
  <si>
    <t>Heinzen</t>
  </si>
  <si>
    <t>Id338</t>
  </si>
  <si>
    <t>Kelley</t>
  </si>
  <si>
    <t>Id339</t>
  </si>
  <si>
    <t>Thacker</t>
  </si>
  <si>
    <t>Id340</t>
  </si>
  <si>
    <t>Jeseritz</t>
  </si>
  <si>
    <t>Id341</t>
  </si>
  <si>
    <t>Hohman</t>
  </si>
  <si>
    <t>Id342</t>
  </si>
  <si>
    <t>Hill</t>
  </si>
  <si>
    <t>Id343</t>
  </si>
  <si>
    <t>Kuepfer</t>
  </si>
  <si>
    <t>Id344</t>
  </si>
  <si>
    <t>Kaczmarek</t>
  </si>
  <si>
    <t>Id345</t>
  </si>
  <si>
    <t>Pitt</t>
  </si>
  <si>
    <t>Id346</t>
  </si>
  <si>
    <t>Lorton</t>
  </si>
  <si>
    <t>Id347</t>
  </si>
  <si>
    <t>Castaneda</t>
  </si>
  <si>
    <t>Id348</t>
  </si>
  <si>
    <t>Cherop</t>
  </si>
  <si>
    <t>Id349</t>
  </si>
  <si>
    <t>Howell</t>
  </si>
  <si>
    <t>Id350</t>
  </si>
  <si>
    <t>Palmer</t>
  </si>
  <si>
    <t>Id351</t>
  </si>
  <si>
    <t>Olson</t>
  </si>
  <si>
    <t>Id352</t>
  </si>
  <si>
    <t>Waldron</t>
  </si>
  <si>
    <t>Id353</t>
  </si>
  <si>
    <t>Id354</t>
  </si>
  <si>
    <t>Stack</t>
  </si>
  <si>
    <t>Id355</t>
  </si>
  <si>
    <t>Sanchez Y Torres</t>
  </si>
  <si>
    <t>Id356</t>
  </si>
  <si>
    <t>Daniels</t>
  </si>
  <si>
    <t>Id357</t>
  </si>
  <si>
    <t>Pepp</t>
  </si>
  <si>
    <t>Id358</t>
  </si>
  <si>
    <t>Buechler</t>
  </si>
  <si>
    <t>Id359</t>
  </si>
  <si>
    <t>Buenting</t>
  </si>
  <si>
    <t>Id360</t>
  </si>
  <si>
    <t>Id361</t>
  </si>
  <si>
    <t>Arcand</t>
  </si>
  <si>
    <t>Id362</t>
  </si>
  <si>
    <t>Kesack</t>
  </si>
  <si>
    <t>Id363</t>
  </si>
  <si>
    <t>Post</t>
  </si>
  <si>
    <t>Id364</t>
  </si>
  <si>
    <t>Dunne</t>
  </si>
  <si>
    <t>Id365</t>
  </si>
  <si>
    <t>Kilel</t>
  </si>
  <si>
    <t>Id366</t>
  </si>
  <si>
    <t>Nicholson</t>
  </si>
  <si>
    <t>Id367</t>
  </si>
  <si>
    <t>Susmann</t>
  </si>
  <si>
    <t>Id368</t>
  </si>
  <si>
    <t>Harsh</t>
  </si>
  <si>
    <t>Id369</t>
  </si>
  <si>
    <t>Pocasangre</t>
  </si>
  <si>
    <t>Id370</t>
  </si>
  <si>
    <t>Martinez Lopez</t>
  </si>
  <si>
    <t>Id371</t>
  </si>
  <si>
    <t>Riegel</t>
  </si>
  <si>
    <t>Id372</t>
  </si>
  <si>
    <t>Monson</t>
  </si>
  <si>
    <t>Id373</t>
  </si>
  <si>
    <t>Klubben</t>
  </si>
  <si>
    <t>Id374</t>
  </si>
  <si>
    <t>Mascaro</t>
  </si>
  <si>
    <t>Id375</t>
  </si>
  <si>
    <t>Norvell</t>
  </si>
  <si>
    <t>Id376</t>
  </si>
  <si>
    <t>Ornelas</t>
  </si>
  <si>
    <t>Id377</t>
  </si>
  <si>
    <t>Fitzpatrick</t>
  </si>
  <si>
    <t>Id378</t>
  </si>
  <si>
    <t>Bloomquist</t>
  </si>
  <si>
    <t>Id379</t>
  </si>
  <si>
    <t>Wick</t>
  </si>
  <si>
    <t>Id380</t>
  </si>
  <si>
    <t>Zappala</t>
  </si>
  <si>
    <t>Id381</t>
  </si>
  <si>
    <t>Earle</t>
  </si>
  <si>
    <t>Id382</t>
  </si>
  <si>
    <t>Majewski</t>
  </si>
  <si>
    <t>Id383</t>
  </si>
  <si>
    <t>Apfelbaum</t>
  </si>
  <si>
    <t>Id384</t>
  </si>
  <si>
    <t>Graham</t>
  </si>
  <si>
    <t>Id385</t>
  </si>
  <si>
    <t>Whitacre</t>
  </si>
  <si>
    <t>Id386</t>
  </si>
  <si>
    <t>Wegener</t>
  </si>
  <si>
    <t>Id387</t>
  </si>
  <si>
    <t>Collie</t>
  </si>
  <si>
    <t>Id388</t>
  </si>
  <si>
    <t>Murphy</t>
  </si>
  <si>
    <t>Id389</t>
  </si>
  <si>
    <t>Butters</t>
  </si>
  <si>
    <t>Id390</t>
  </si>
  <si>
    <t>Cook</t>
  </si>
  <si>
    <t>Id391</t>
  </si>
  <si>
    <t>Breen</t>
  </si>
  <si>
    <t>Id392</t>
  </si>
  <si>
    <t>Fitzsimons</t>
  </si>
  <si>
    <t>Id393</t>
  </si>
  <si>
    <t>Houle</t>
  </si>
  <si>
    <t>Id394</t>
  </si>
  <si>
    <t>Id395</t>
  </si>
  <si>
    <t>Ray</t>
  </si>
  <si>
    <t>Id396</t>
  </si>
  <si>
    <t>Jennings</t>
  </si>
  <si>
    <t>Id397</t>
  </si>
  <si>
    <t>Fuller</t>
  </si>
  <si>
    <t>Id398</t>
  </si>
  <si>
    <t>Lovisek</t>
  </si>
  <si>
    <t>Id399</t>
  </si>
  <si>
    <t>Painter</t>
  </si>
  <si>
    <t>Id400</t>
  </si>
  <si>
    <t>Edwards</t>
  </si>
  <si>
    <t>Id401</t>
  </si>
  <si>
    <t>Liebl</t>
  </si>
  <si>
    <t>Id402</t>
  </si>
  <si>
    <t>Kasabian-Larson</t>
  </si>
  <si>
    <t>Id403</t>
  </si>
  <si>
    <t>Creamer</t>
  </si>
  <si>
    <t>Id404</t>
  </si>
  <si>
    <t>Kimbel</t>
  </si>
  <si>
    <t>Id405</t>
  </si>
  <si>
    <t>Livensparger</t>
  </si>
  <si>
    <t>Id406</t>
  </si>
  <si>
    <t>Grange</t>
  </si>
  <si>
    <t>Id407</t>
  </si>
  <si>
    <t>Nunlist</t>
  </si>
  <si>
    <t>Id408</t>
  </si>
  <si>
    <t>Cutter</t>
  </si>
  <si>
    <t>Id409</t>
  </si>
  <si>
    <t>Martin</t>
  </si>
  <si>
    <t>Id410</t>
  </si>
  <si>
    <t>Cooney</t>
  </si>
  <si>
    <t>Id411</t>
  </si>
  <si>
    <t>Bier</t>
  </si>
  <si>
    <t>Id412</t>
  </si>
  <si>
    <t>Muskopf</t>
  </si>
  <si>
    <t>Id413</t>
  </si>
  <si>
    <t>Sirak</t>
  </si>
  <si>
    <t>Id414</t>
  </si>
  <si>
    <t>Nelsen</t>
  </si>
  <si>
    <t>Id415</t>
  </si>
  <si>
    <t>Schallner</t>
  </si>
  <si>
    <t>Id416</t>
  </si>
  <si>
    <t>Dunlap</t>
  </si>
  <si>
    <t>Id417</t>
  </si>
  <si>
    <t>Messing</t>
  </si>
  <si>
    <t>Id418</t>
  </si>
  <si>
    <t>Bondell</t>
  </si>
  <si>
    <t>Id419</t>
  </si>
  <si>
    <t>Gaughan</t>
  </si>
  <si>
    <t>Id420</t>
  </si>
  <si>
    <t>Gruman</t>
  </si>
  <si>
    <t>Id421</t>
  </si>
  <si>
    <t>Whitlow</t>
  </si>
  <si>
    <t>Id422</t>
  </si>
  <si>
    <t>Id423</t>
  </si>
  <si>
    <t>Sabo</t>
  </si>
  <si>
    <t>Id424</t>
  </si>
  <si>
    <t>Nazarian</t>
  </si>
  <si>
    <t>Id425</t>
  </si>
  <si>
    <t>Lerma</t>
  </si>
  <si>
    <t>Id426</t>
  </si>
  <si>
    <t>Dahl</t>
  </si>
  <si>
    <t>Id427</t>
  </si>
  <si>
    <t>Surtees</t>
  </si>
  <si>
    <t>Id428</t>
  </si>
  <si>
    <t>Spetner</t>
  </si>
  <si>
    <t>Id429</t>
  </si>
  <si>
    <t>Brandon</t>
  </si>
  <si>
    <t>Id430</t>
  </si>
  <si>
    <t>Eley</t>
  </si>
  <si>
    <t>Id431</t>
  </si>
  <si>
    <t>Sedicum</t>
  </si>
  <si>
    <t>Id432</t>
  </si>
  <si>
    <t>Markle</t>
  </si>
  <si>
    <t>Id433</t>
  </si>
  <si>
    <t>Kunz</t>
  </si>
  <si>
    <t>Id434</t>
  </si>
  <si>
    <t>Wimert</t>
  </si>
  <si>
    <t>Id435</t>
  </si>
  <si>
    <t>Peterson</t>
  </si>
  <si>
    <t>Id436</t>
  </si>
  <si>
    <t>Mercier</t>
  </si>
  <si>
    <t>Id437</t>
  </si>
  <si>
    <t>Laurie</t>
  </si>
  <si>
    <t>Id438</t>
  </si>
  <si>
    <t>Sekaquaptewa</t>
  </si>
  <si>
    <t>Id439</t>
  </si>
  <si>
    <t>Frash</t>
  </si>
  <si>
    <t>Id440</t>
  </si>
  <si>
    <t>Bukowski</t>
  </si>
  <si>
    <t>Id441</t>
  </si>
  <si>
    <t>Sandahl</t>
  </si>
  <si>
    <t>Id442</t>
  </si>
  <si>
    <t>Speight</t>
  </si>
  <si>
    <t>Id443</t>
  </si>
  <si>
    <t>Id444</t>
  </si>
  <si>
    <t>Nielsen</t>
  </si>
  <si>
    <t>Id445</t>
  </si>
  <si>
    <t>Zirdok</t>
  </si>
  <si>
    <t>Id446</t>
  </si>
  <si>
    <t>Crudale</t>
  </si>
  <si>
    <t>Id447</t>
  </si>
  <si>
    <t>Koopmans</t>
  </si>
  <si>
    <t>Id448</t>
  </si>
  <si>
    <t>Milani</t>
  </si>
  <si>
    <t>Id449</t>
  </si>
  <si>
    <t>Kelly</t>
  </si>
  <si>
    <t>Id450</t>
  </si>
  <si>
    <t>Finelli</t>
  </si>
  <si>
    <t>Id451</t>
  </si>
  <si>
    <t>Id452</t>
  </si>
  <si>
    <t>Id453</t>
  </si>
  <si>
    <t>Beasley</t>
  </si>
  <si>
    <t>Id454</t>
  </si>
  <si>
    <t>Bedbury</t>
  </si>
  <si>
    <t>Id455</t>
  </si>
  <si>
    <t>Stemberger</t>
  </si>
  <si>
    <t>Id456</t>
  </si>
  <si>
    <t>Chebet</t>
  </si>
  <si>
    <t>Id457</t>
  </si>
  <si>
    <t>Muir</t>
  </si>
  <si>
    <t>Id458</t>
  </si>
  <si>
    <t>Yang</t>
  </si>
  <si>
    <t>Id459</t>
  </si>
  <si>
    <t>Gravel</t>
  </si>
  <si>
    <t>Id460</t>
  </si>
  <si>
    <t>Id461</t>
  </si>
  <si>
    <t>Id462</t>
  </si>
  <si>
    <t>Id463</t>
  </si>
  <si>
    <t>Jamieson</t>
  </si>
  <si>
    <t>Id464</t>
  </si>
  <si>
    <t>Dufeal</t>
  </si>
  <si>
    <t>Id465</t>
  </si>
  <si>
    <t>Sansonetti</t>
  </si>
  <si>
    <t>Id466</t>
  </si>
  <si>
    <t>Koneazny</t>
  </si>
  <si>
    <t>Id467</t>
  </si>
  <si>
    <t>Id468</t>
  </si>
  <si>
    <t>Glasson</t>
  </si>
  <si>
    <t>Id469</t>
  </si>
  <si>
    <t>Canitz</t>
  </si>
  <si>
    <t>Id470</t>
  </si>
  <si>
    <t>Li</t>
  </si>
  <si>
    <t>Id471</t>
  </si>
  <si>
    <t>Parsons</t>
  </si>
  <si>
    <t>Id472</t>
  </si>
  <si>
    <t>Raulli</t>
  </si>
  <si>
    <t>Id473</t>
  </si>
  <si>
    <t>Id474</t>
  </si>
  <si>
    <t>Sevcik</t>
  </si>
  <si>
    <t>Id475</t>
  </si>
  <si>
    <t>Narang</t>
  </si>
  <si>
    <t>Id476</t>
  </si>
  <si>
    <t>Royston</t>
  </si>
  <si>
    <t>Id477</t>
  </si>
  <si>
    <t>Tieri</t>
  </si>
  <si>
    <t>Id478</t>
  </si>
  <si>
    <t>Whitney</t>
  </si>
  <si>
    <t>Id479</t>
  </si>
  <si>
    <t>Wandzilak</t>
  </si>
  <si>
    <t>Id480</t>
  </si>
  <si>
    <t>Valenzona</t>
  </si>
  <si>
    <t>Id481</t>
  </si>
  <si>
    <t>Young</t>
  </si>
  <si>
    <t>Id482</t>
  </si>
  <si>
    <t>Richards</t>
  </si>
  <si>
    <t>Id483</t>
  </si>
  <si>
    <t>Alexson</t>
  </si>
  <si>
    <t>Id484</t>
  </si>
  <si>
    <t>Id485</t>
  </si>
  <si>
    <t>Mckenna</t>
  </si>
  <si>
    <t>Id486</t>
  </si>
  <si>
    <t>Id487</t>
  </si>
  <si>
    <t>Argall</t>
  </si>
  <si>
    <t>Id488</t>
  </si>
  <si>
    <t>Patchell</t>
  </si>
  <si>
    <t>Id489</t>
  </si>
  <si>
    <t>Catoggio</t>
  </si>
  <si>
    <t>Id490</t>
  </si>
  <si>
    <t>Adams</t>
  </si>
  <si>
    <t>Id491</t>
  </si>
  <si>
    <t>Windt</t>
  </si>
  <si>
    <t>Id492</t>
  </si>
  <si>
    <t>Ryan</t>
  </si>
  <si>
    <t>R1026</t>
  </si>
  <si>
    <t>Id493</t>
  </si>
  <si>
    <t>Marion</t>
  </si>
  <si>
    <t>Id494</t>
  </si>
  <si>
    <t>Raffetto</t>
  </si>
  <si>
    <t>Id495</t>
  </si>
  <si>
    <t>Id496</t>
  </si>
  <si>
    <t>Oehlke</t>
  </si>
  <si>
    <t>Id497</t>
  </si>
  <si>
    <t>Sudol</t>
  </si>
  <si>
    <t>Id498</t>
  </si>
  <si>
    <t>Van Es</t>
  </si>
  <si>
    <t>Id499</t>
  </si>
  <si>
    <t>Dolge</t>
  </si>
  <si>
    <t>Id500</t>
  </si>
  <si>
    <t>Marlier</t>
  </si>
  <si>
    <t>Id501</t>
  </si>
  <si>
    <t>Girard</t>
  </si>
  <si>
    <t>Id502</t>
  </si>
  <si>
    <t>Id503</t>
  </si>
  <si>
    <t>Hubbard</t>
  </si>
  <si>
    <t>Id504</t>
  </si>
  <si>
    <t>Koester</t>
  </si>
  <si>
    <t>Id505</t>
  </si>
  <si>
    <t>Matthews</t>
  </si>
  <si>
    <t>Id506</t>
  </si>
  <si>
    <t>Rubinich</t>
  </si>
  <si>
    <t>Id507</t>
  </si>
  <si>
    <t>Alban</t>
  </si>
  <si>
    <t>Id508</t>
  </si>
  <si>
    <t>Corcoran</t>
  </si>
  <si>
    <t>Id509</t>
  </si>
  <si>
    <t>Sargent</t>
  </si>
  <si>
    <t>Id510</t>
  </si>
  <si>
    <t>Watson</t>
  </si>
  <si>
    <t>Id511</t>
  </si>
  <si>
    <t>Esponda</t>
  </si>
  <si>
    <t>Id512</t>
  </si>
  <si>
    <t>Krall</t>
  </si>
  <si>
    <t>Id513</t>
  </si>
  <si>
    <t>Poskin</t>
  </si>
  <si>
    <t>Id514</t>
  </si>
  <si>
    <t>Halfmann</t>
  </si>
  <si>
    <t>Id515</t>
  </si>
  <si>
    <t>Klapper</t>
  </si>
  <si>
    <t>Id516</t>
  </si>
  <si>
    <t>George</t>
  </si>
  <si>
    <t>Id517</t>
  </si>
  <si>
    <t>Hicks</t>
  </si>
  <si>
    <t>Id518</t>
  </si>
  <si>
    <t>Lockyer</t>
  </si>
  <si>
    <t>Id519</t>
  </si>
  <si>
    <t>Byrnes</t>
  </si>
  <si>
    <t>Id520</t>
  </si>
  <si>
    <t>Norris</t>
  </si>
  <si>
    <t>Id521</t>
  </si>
  <si>
    <t>Darda</t>
  </si>
  <si>
    <t>Id522</t>
  </si>
  <si>
    <t>Otstot</t>
  </si>
  <si>
    <t>Id523</t>
  </si>
  <si>
    <t>Bowley</t>
  </si>
  <si>
    <t>Id524</t>
  </si>
  <si>
    <t>Rogers</t>
  </si>
  <si>
    <t>Id525</t>
  </si>
  <si>
    <t>Mclaughlin</t>
  </si>
  <si>
    <t>Id526</t>
  </si>
  <si>
    <t>Ziegler</t>
  </si>
  <si>
    <t>Id527</t>
  </si>
  <si>
    <t>Hughey</t>
  </si>
  <si>
    <t>Id528</t>
  </si>
  <si>
    <t>Knast</t>
  </si>
  <si>
    <t>Id529</t>
  </si>
  <si>
    <t>Stob</t>
  </si>
  <si>
    <t>Id530</t>
  </si>
  <si>
    <t>Jensen</t>
  </si>
  <si>
    <t>Id531</t>
  </si>
  <si>
    <t>Mutter</t>
  </si>
  <si>
    <t>Id532</t>
  </si>
  <si>
    <t>Ahern</t>
  </si>
  <si>
    <t>Id533</t>
  </si>
  <si>
    <t>Chviruk</t>
  </si>
  <si>
    <t>Id534</t>
  </si>
  <si>
    <t>Meehan</t>
  </si>
  <si>
    <t>Id535</t>
  </si>
  <si>
    <t>Gammon</t>
  </si>
  <si>
    <t>Id536</t>
  </si>
  <si>
    <t>Id537</t>
  </si>
  <si>
    <t>Franco</t>
  </si>
  <si>
    <t>Id538</t>
  </si>
  <si>
    <t>Patterson</t>
  </si>
  <si>
    <t>Id539</t>
  </si>
  <si>
    <t>Valdes</t>
  </si>
  <si>
    <t>Id540</t>
  </si>
  <si>
    <t>Craig</t>
  </si>
  <si>
    <t>Id541</t>
  </si>
  <si>
    <t>Whipple</t>
  </si>
  <si>
    <t>Id542</t>
  </si>
  <si>
    <t>Marton</t>
  </si>
  <si>
    <t>Id543</t>
  </si>
  <si>
    <t>Hildebrandt</t>
  </si>
  <si>
    <t>Id544</t>
  </si>
  <si>
    <t>Biggs</t>
  </si>
  <si>
    <t>Id545</t>
  </si>
  <si>
    <t>Shigezumi</t>
  </si>
  <si>
    <t>Id546</t>
  </si>
  <si>
    <t>Meineke</t>
  </si>
  <si>
    <t>Id547</t>
  </si>
  <si>
    <t>Ludington</t>
  </si>
  <si>
    <t>Id548</t>
  </si>
  <si>
    <t>Perrich</t>
  </si>
  <si>
    <t>Id549</t>
  </si>
  <si>
    <t>Cervantes</t>
  </si>
  <si>
    <t>Id550</t>
  </si>
  <si>
    <t>Andrews</t>
  </si>
  <si>
    <t>Id551</t>
  </si>
  <si>
    <t>Ruvalcaba</t>
  </si>
  <si>
    <t>Id552</t>
  </si>
  <si>
    <t>Id553</t>
  </si>
  <si>
    <t>Stone</t>
  </si>
  <si>
    <t>Id554</t>
  </si>
  <si>
    <t>Campbell</t>
  </si>
  <si>
    <t>Id555</t>
  </si>
  <si>
    <t>Asher</t>
  </si>
  <si>
    <t>Id556</t>
  </si>
  <si>
    <t>Mazzotta</t>
  </si>
  <si>
    <t>Id557</t>
  </si>
  <si>
    <t>Huttl</t>
  </si>
  <si>
    <t>Id558</t>
  </si>
  <si>
    <t>Ferron</t>
  </si>
  <si>
    <t>Id559</t>
  </si>
  <si>
    <t>Colarusso</t>
  </si>
  <si>
    <t>Id560</t>
  </si>
  <si>
    <t>Pearlman</t>
  </si>
  <si>
    <t>Id561</t>
  </si>
  <si>
    <t>O'Mara</t>
  </si>
  <si>
    <t>Id562</t>
  </si>
  <si>
    <t>Niska</t>
  </si>
  <si>
    <t>Id563</t>
  </si>
  <si>
    <t>Schlich</t>
  </si>
  <si>
    <t>Id564</t>
  </si>
  <si>
    <t>Zidek</t>
  </si>
  <si>
    <t>Id565</t>
  </si>
  <si>
    <t>Ellgass</t>
  </si>
  <si>
    <t>Id566</t>
  </si>
  <si>
    <t>Lowe</t>
  </si>
  <si>
    <t>Id567</t>
  </si>
  <si>
    <t>Malone</t>
  </si>
  <si>
    <t>Id568</t>
  </si>
  <si>
    <t>Dumke</t>
  </si>
  <si>
    <t>Id569</t>
  </si>
  <si>
    <t>Strong</t>
  </si>
  <si>
    <t>Id570</t>
  </si>
  <si>
    <t>Ferguson</t>
  </si>
  <si>
    <t>Id571</t>
  </si>
  <si>
    <t>Klein</t>
  </si>
  <si>
    <t>Id572</t>
  </si>
  <si>
    <t>Eusebio</t>
  </si>
  <si>
    <t>Id573</t>
  </si>
  <si>
    <t>Szolosi</t>
  </si>
  <si>
    <t>Id574</t>
  </si>
  <si>
    <t>Butler</t>
  </si>
  <si>
    <t>Id575</t>
  </si>
  <si>
    <t>Fukuchi</t>
  </si>
  <si>
    <t>Id576</t>
  </si>
  <si>
    <t>Drucker</t>
  </si>
  <si>
    <t>Id577</t>
  </si>
  <si>
    <t>Aziz</t>
  </si>
  <si>
    <t>Id578</t>
  </si>
  <si>
    <t>Pak</t>
  </si>
  <si>
    <t>Id579</t>
  </si>
  <si>
    <t>Kieta</t>
  </si>
  <si>
    <t>Id580</t>
  </si>
  <si>
    <t>Velez</t>
  </si>
  <si>
    <t>Id581</t>
  </si>
  <si>
    <t>Bussiere</t>
  </si>
  <si>
    <t>Id582</t>
  </si>
  <si>
    <t>Mccartney</t>
  </si>
  <si>
    <t>Id583</t>
  </si>
  <si>
    <t>Bambauer</t>
  </si>
  <si>
    <t>Id584</t>
  </si>
  <si>
    <t>Mertz</t>
  </si>
  <si>
    <t>Id585</t>
  </si>
  <si>
    <t>Mason</t>
  </si>
  <si>
    <t>Id586</t>
  </si>
  <si>
    <t>Rotich</t>
  </si>
  <si>
    <t>Id587</t>
  </si>
  <si>
    <t>Fetzer</t>
  </si>
  <si>
    <t>Id588</t>
  </si>
  <si>
    <t>Mattis</t>
  </si>
  <si>
    <t>Id589</t>
  </si>
  <si>
    <t>Id590</t>
  </si>
  <si>
    <t>Balinsky</t>
  </si>
  <si>
    <t>Id591</t>
  </si>
  <si>
    <t>Reilly</t>
  </si>
  <si>
    <t>Id592</t>
  </si>
  <si>
    <t>Id593</t>
  </si>
  <si>
    <t>Petry</t>
  </si>
  <si>
    <t>Id594</t>
  </si>
  <si>
    <t>Laleman</t>
  </si>
  <si>
    <t>Id595</t>
  </si>
  <si>
    <t>Colby</t>
  </si>
  <si>
    <t>Id596</t>
  </si>
  <si>
    <t>Wathke</t>
  </si>
  <si>
    <t>Id597</t>
  </si>
  <si>
    <t>Daly</t>
  </si>
  <si>
    <t>Id598</t>
  </si>
  <si>
    <t>Dillon</t>
  </si>
  <si>
    <t>Id599</t>
  </si>
  <si>
    <t>Pontes</t>
  </si>
  <si>
    <t>Id600</t>
  </si>
  <si>
    <t>Spies</t>
  </si>
  <si>
    <t>Id601</t>
  </si>
  <si>
    <t>Greig</t>
  </si>
  <si>
    <t>Id602</t>
  </si>
  <si>
    <t>Scott</t>
  </si>
  <si>
    <t>Id603</t>
  </si>
  <si>
    <t>Erlandson</t>
  </si>
  <si>
    <t>Id604</t>
  </si>
  <si>
    <t>Autrey</t>
  </si>
  <si>
    <t>Id605</t>
  </si>
  <si>
    <t>Id606</t>
  </si>
  <si>
    <t>Michalski</t>
  </si>
  <si>
    <t>Id607</t>
  </si>
  <si>
    <t>Grillo</t>
  </si>
  <si>
    <t>Id608</t>
  </si>
  <si>
    <t>Coronado</t>
  </si>
  <si>
    <t>Id609</t>
  </si>
  <si>
    <t>Dewine</t>
  </si>
  <si>
    <t>Id610</t>
  </si>
  <si>
    <t>Carman</t>
  </si>
  <si>
    <t>Id611</t>
  </si>
  <si>
    <t>Neems</t>
  </si>
  <si>
    <t>Id612</t>
  </si>
  <si>
    <t>Pesyna</t>
  </si>
  <si>
    <t>Id613</t>
  </si>
  <si>
    <t>Meling</t>
  </si>
  <si>
    <t>Id614</t>
  </si>
  <si>
    <t>Widlowski</t>
  </si>
  <si>
    <t>Id615</t>
  </si>
  <si>
    <t>Nadar</t>
  </si>
  <si>
    <t>Id616</t>
  </si>
  <si>
    <t>Id617</t>
  </si>
  <si>
    <t>Id618</t>
  </si>
  <si>
    <t>Leedham</t>
  </si>
  <si>
    <t>Id619</t>
  </si>
  <si>
    <t>Haglund</t>
  </si>
  <si>
    <t>Id620</t>
  </si>
  <si>
    <t>Mills</t>
  </si>
  <si>
    <t>Id621</t>
  </si>
  <si>
    <t>Drnjevich</t>
  </si>
  <si>
    <t>Id622</t>
  </si>
  <si>
    <t>Clay</t>
  </si>
  <si>
    <t>Id623</t>
  </si>
  <si>
    <t>Marbury</t>
  </si>
  <si>
    <t>Id624</t>
  </si>
  <si>
    <t>Coon</t>
  </si>
  <si>
    <t>Id625</t>
  </si>
  <si>
    <t>Vanttinen</t>
  </si>
  <si>
    <t>Id626</t>
  </si>
  <si>
    <t>Garges</t>
  </si>
  <si>
    <t>Id627</t>
  </si>
  <si>
    <t>Rivel</t>
  </si>
  <si>
    <t>R1022</t>
  </si>
  <si>
    <t>Id628</t>
  </si>
  <si>
    <t>Lawson</t>
  </si>
  <si>
    <t>Id629</t>
  </si>
  <si>
    <t>Cale</t>
  </si>
  <si>
    <t>Id630</t>
  </si>
  <si>
    <t>Id631</t>
  </si>
  <si>
    <t>Stewart</t>
  </si>
  <si>
    <t>Id632</t>
  </si>
  <si>
    <t>Drotz</t>
  </si>
  <si>
    <t>Id633</t>
  </si>
  <si>
    <t>Mutai</t>
  </si>
  <si>
    <t>Id634</t>
  </si>
  <si>
    <t>Lovlien</t>
  </si>
  <si>
    <t>Id635</t>
  </si>
  <si>
    <t>Id636</t>
  </si>
  <si>
    <t>Stoney</t>
  </si>
  <si>
    <t>Id637</t>
  </si>
  <si>
    <t>Markert</t>
  </si>
  <si>
    <t>Id638</t>
  </si>
  <si>
    <t>Mclucas</t>
  </si>
  <si>
    <t>Id639</t>
  </si>
  <si>
    <t>Erwin</t>
  </si>
  <si>
    <t>Id640</t>
  </si>
  <si>
    <t>Id641</t>
  </si>
  <si>
    <t>Otsuka</t>
  </si>
  <si>
    <t>Id642</t>
  </si>
  <si>
    <t>Id643</t>
  </si>
  <si>
    <t>Myers</t>
  </si>
  <si>
    <t>Id644</t>
  </si>
  <si>
    <t>Cote</t>
  </si>
  <si>
    <t>Id645</t>
  </si>
  <si>
    <t>Ehrhardt</t>
  </si>
  <si>
    <t>Id646</t>
  </si>
  <si>
    <t>Petersen</t>
  </si>
  <si>
    <t>Id647</t>
  </si>
  <si>
    <t>Ertel</t>
  </si>
  <si>
    <t>Id648</t>
  </si>
  <si>
    <t>Lanza</t>
  </si>
  <si>
    <t>R1021</t>
  </si>
  <si>
    <t>Id649</t>
  </si>
  <si>
    <t>Picklesimer</t>
  </si>
  <si>
    <t>Id650</t>
  </si>
  <si>
    <t>Giles</t>
  </si>
  <si>
    <t>Id651</t>
  </si>
  <si>
    <t>Harmon</t>
  </si>
  <si>
    <t>Id652</t>
  </si>
  <si>
    <t>Pennings</t>
  </si>
  <si>
    <t>Id653</t>
  </si>
  <si>
    <t>Tseronis</t>
  </si>
  <si>
    <t>Id654</t>
  </si>
  <si>
    <t>Aliff</t>
  </si>
  <si>
    <t>Id655</t>
  </si>
  <si>
    <t>Willenberg</t>
  </si>
  <si>
    <t>Id656</t>
  </si>
  <si>
    <t>Millett</t>
  </si>
  <si>
    <t>Id657</t>
  </si>
  <si>
    <t>Haley</t>
  </si>
  <si>
    <t>Id658</t>
  </si>
  <si>
    <t>Ackerman</t>
  </si>
  <si>
    <t>Id659</t>
  </si>
  <si>
    <t>Valdez</t>
  </si>
  <si>
    <t>Id660</t>
  </si>
  <si>
    <t>Michaud</t>
  </si>
  <si>
    <t>Id661</t>
  </si>
  <si>
    <t>Gunnink</t>
  </si>
  <si>
    <t>Id662</t>
  </si>
  <si>
    <t>Knight</t>
  </si>
  <si>
    <t>Id663</t>
  </si>
  <si>
    <t>Grosscup</t>
  </si>
  <si>
    <t>Id664</t>
  </si>
  <si>
    <t>Koniuch</t>
  </si>
  <si>
    <t>Id665</t>
  </si>
  <si>
    <t>Heitzman</t>
  </si>
  <si>
    <t>Id666</t>
  </si>
  <si>
    <t>Tatton</t>
  </si>
  <si>
    <t>Id667</t>
  </si>
  <si>
    <t>Flanagan</t>
  </si>
  <si>
    <t>Id668</t>
  </si>
  <si>
    <t>Funk</t>
  </si>
  <si>
    <t>Id669</t>
  </si>
  <si>
    <t>Davenport</t>
  </si>
  <si>
    <t>Id670</t>
  </si>
  <si>
    <t>Id671</t>
  </si>
  <si>
    <t>Lindbloom</t>
  </si>
  <si>
    <t>Id672</t>
  </si>
  <si>
    <t>Wijayaratne</t>
  </si>
  <si>
    <t>Id673</t>
  </si>
  <si>
    <t>Ainsworth</t>
  </si>
  <si>
    <t>Id674</t>
  </si>
  <si>
    <t>Gayagoy</t>
  </si>
  <si>
    <t>Id675</t>
  </si>
  <si>
    <t>Fitzmaurice</t>
  </si>
  <si>
    <t>Id676</t>
  </si>
  <si>
    <t>Rodriguez</t>
  </si>
  <si>
    <t>Id677</t>
  </si>
  <si>
    <t>Tsoucas</t>
  </si>
  <si>
    <t>Id678</t>
  </si>
  <si>
    <t>Muhly</t>
  </si>
  <si>
    <t>Id679</t>
  </si>
  <si>
    <t>Lund</t>
  </si>
  <si>
    <t>Id680</t>
  </si>
  <si>
    <t>Battaglino</t>
  </si>
  <si>
    <t>Id681</t>
  </si>
  <si>
    <t>Pena</t>
  </si>
  <si>
    <t>Id682</t>
  </si>
  <si>
    <t>Thomason</t>
  </si>
  <si>
    <t>Id683</t>
  </si>
  <si>
    <t>Hancox</t>
  </si>
  <si>
    <t>Id684</t>
  </si>
  <si>
    <t>Canarecci</t>
  </si>
  <si>
    <t>Id685</t>
  </si>
  <si>
    <t>Toupin</t>
  </si>
  <si>
    <t>Id686</t>
  </si>
  <si>
    <t>Mulley</t>
  </si>
  <si>
    <t>Id687</t>
  </si>
  <si>
    <t>Parry</t>
  </si>
  <si>
    <t>R1025</t>
  </si>
  <si>
    <t>Id688</t>
  </si>
  <si>
    <t>Mason Cox</t>
  </si>
  <si>
    <t>Id689</t>
  </si>
  <si>
    <t>Thompson</t>
  </si>
  <si>
    <t>Id690</t>
  </si>
  <si>
    <t>Nelson</t>
  </si>
  <si>
    <t>Id691</t>
  </si>
  <si>
    <t>Forte</t>
  </si>
  <si>
    <t>Id692</t>
  </si>
  <si>
    <t>Corona Iturriaga</t>
  </si>
  <si>
    <t>Id693</t>
  </si>
  <si>
    <t>Mccollum</t>
  </si>
  <si>
    <t>Id694</t>
  </si>
  <si>
    <t>Hevner</t>
  </si>
  <si>
    <t>Id695</t>
  </si>
  <si>
    <t>Looi</t>
  </si>
  <si>
    <t>Id696</t>
  </si>
  <si>
    <t>Power</t>
  </si>
  <si>
    <t>Id697</t>
  </si>
  <si>
    <t>Routon</t>
  </si>
  <si>
    <t>Id698</t>
  </si>
  <si>
    <t>Dochelli</t>
  </si>
  <si>
    <t>Id699</t>
  </si>
  <si>
    <t>Gillespie</t>
  </si>
  <si>
    <t>Id700</t>
  </si>
  <si>
    <t>Oskvig</t>
  </si>
  <si>
    <t>Id701</t>
  </si>
  <si>
    <t>Holland-Stergar</t>
  </si>
  <si>
    <t>Id702</t>
  </si>
  <si>
    <t>Arai</t>
  </si>
  <si>
    <t>Id703</t>
  </si>
  <si>
    <t>Olausson</t>
  </si>
  <si>
    <t>Medical Examinations - Missing values</t>
  </si>
  <si>
    <t>Column Name</t>
  </si>
  <si>
    <t>Missing count-Medical Examination</t>
  </si>
  <si>
    <t>Missing count-Hospitalisation details</t>
  </si>
  <si>
    <t>Heart Issues</t>
  </si>
  <si>
    <t>Any Transplants</t>
  </si>
  <si>
    <t>Cancer history</t>
  </si>
  <si>
    <t>NumberOfMajorSurgeries</t>
  </si>
  <si>
    <t>smoker</t>
  </si>
  <si>
    <t>year</t>
  </si>
  <si>
    <t>month</t>
  </si>
  <si>
    <t>date</t>
  </si>
  <si>
    <t>children</t>
  </si>
  <si>
    <t>charges</t>
  </si>
  <si>
    <t>Hospital tier</t>
  </si>
  <si>
    <t>City tier</t>
  </si>
  <si>
    <t>State ID</t>
  </si>
  <si>
    <t>TOTAL =Medical Examination and Hospitalisation Details =17</t>
  </si>
  <si>
    <t>Row Labels</t>
  </si>
  <si>
    <t>Grand Total</t>
  </si>
  <si>
    <t>Column Labels</t>
  </si>
  <si>
    <t>Count of Customer ID</t>
  </si>
  <si>
    <t>smokers</t>
  </si>
  <si>
    <t>cancer</t>
  </si>
  <si>
    <t>Sum of NUMBEROFMAJORSURJERIES</t>
  </si>
  <si>
    <t>Average of HBA1C</t>
  </si>
  <si>
    <t>Sum of CHARGES</t>
  </si>
  <si>
    <t>Average of CHARGES</t>
  </si>
  <si>
    <t>Column1</t>
  </si>
  <si>
    <t>0.0481592523963453 Total</t>
  </si>
  <si>
    <t>0.100084332545376 Total</t>
  </si>
  <si>
    <t>1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</si>
</sst>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quot;₹&quot;\ #,##0.00"/>
    <numFmt numFmtId="171" formatCode="0.000000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70" fontId="0" fillId="0" borderId="0" xfId="0" applyNumberFormat="1"/>
    <xf numFmtId="171" fontId="0" fillId="0" borderId="0" xfId="0" applyNumberFormat="1"/>
    <xf numFmtId="0" fontId="0" fillId="2" borderId="0" xfId="0" applyFill="1"/>
    <xf numFmtId="0" fontId="0" fillId="3" borderId="0" xfId="0" applyFill="1" applyAlignment="1">
      <alignment horizontal="center"/>
    </xf>
  </cellXfs>
  <cellStyles count="1">
    <cellStyle name="Normal" xfId="0" builtinId="0"/>
  </cellStyles>
  <dxfs count="16">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-3.xlsx]WEIGHT STATUS!PivotTable36</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'WEIGHT STATUS'!$B$3:$B$4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'WEIGHT STATUS'!$A$5</c:f>
              <c:strCache>
                <c:ptCount val="1"/>
                <c:pt idx="0">
                  <c:v>Total</c:v>
                </c:pt>
              </c:strCache>
            </c:strRef>
          </c:cat>
          <c:val>
            <c:numRef>
              <c:f>'WEIGHT STATUS'!$B$5</c:f>
              <c:numCache>
                <c:formatCode>General</c:formatCode>
                <c:ptCount val="1"/>
                <c:pt idx="0">
                  <c:v>7</c:v>
                </c:pt>
              </c:numCache>
            </c:numRef>
          </c:val>
          <c:extLst>
            <c:ext xmlns:c16="http://schemas.microsoft.com/office/drawing/2014/chart" uri="{C3380CC4-5D6E-409C-BE32-E72D297353CC}">
              <c16:uniqueId val="{00000000-FE46-4DE6-8301-B5EEEE432D47}"/>
            </c:ext>
          </c:extLst>
        </c:ser>
        <c:ser>
          <c:idx val="1"/>
          <c:order val="1"/>
          <c:tx>
            <c:strRef>
              <c:f>'WEIGHT STATUS'!$C$3:$C$4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'WEIGHT STATUS'!$A$5</c:f>
              <c:strCache>
                <c:ptCount val="1"/>
                <c:pt idx="0">
                  <c:v>Total</c:v>
                </c:pt>
              </c:strCache>
            </c:strRef>
          </c:cat>
          <c:val>
            <c:numRef>
              <c:f>'WEIGHT STATUS'!$C$5</c:f>
              <c:numCache>
                <c:formatCode>General</c:formatCode>
                <c:ptCount val="1"/>
                <c:pt idx="0">
                  <c:v>15</c:v>
                </c:pt>
              </c:numCache>
            </c:numRef>
          </c:val>
          <c:extLst>
            <c:ext xmlns:c16="http://schemas.microsoft.com/office/drawing/2014/chart" uri="{C3380CC4-5D6E-409C-BE32-E72D297353CC}">
              <c16:uniqueId val="{00000001-FE46-4DE6-8301-B5EEEE432D47}"/>
            </c:ext>
          </c:extLst>
        </c:ser>
        <c:dLbls>
          <c:showLegendKey val="0"/>
          <c:showVal val="0"/>
          <c:showCatName val="0"/>
          <c:showSerName val="0"/>
          <c:showPercent val="0"/>
          <c:showBubbleSize val="0"/>
        </c:dLbls>
        <c:gapWidth val="150"/>
        <c:overlap val="100"/>
        <c:axId val="1508605856"/>
        <c:axId val="1343310096"/>
      </c:barChart>
      <c:catAx>
        <c:axId val="150860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310096"/>
        <c:crosses val="autoZero"/>
        <c:auto val="1"/>
        <c:lblAlgn val="ctr"/>
        <c:lblOffset val="100"/>
        <c:noMultiLvlLbl val="0"/>
      </c:catAx>
      <c:valAx>
        <c:axId val="134331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60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-3.xlsx]DIABETICS STATUS!PivotTable35</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'DIABETICS STATUS'!$A$3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'DIABETICS STATUS'!$A$4</c:f>
              <c:strCache>
                <c:ptCount val="1"/>
                <c:pt idx="0">
                  <c:v>Total</c:v>
                </c:pt>
              </c:strCache>
            </c:strRef>
          </c:cat>
          <c:val>
            <c:numRef>
              <c:f>'DIABETICS STATUS'!$A$4</c:f>
              <c:numCache>
                <c:formatCode>General</c:formatCode>
                <c:ptCount val="1"/>
                <c:pt idx="0">
                  <c:v>280</c:v>
                </c:pt>
              </c:numCache>
            </c:numRef>
          </c:val>
          <c:extLst>
            <c:ext xmlns:c16="http://schemas.microsoft.com/office/drawing/2014/chart" uri="{C3380CC4-5D6E-409C-BE32-E72D297353CC}">
              <c16:uniqueId val="{00000001-E11F-4948-8653-832E8274CA4C}"/>
            </c:ext>
          </c:extLst>
        </c:ser>
        <c:dLbls>
          <c:showLegendKey val="0"/>
          <c:showVal val="0"/>
          <c:showCatName val="0"/>
          <c:showSerName val="0"/>
          <c:showPercent val="0"/>
          <c:showBubbleSize val="0"/>
        </c:dLbls>
        <c:gapWidth val="150"/>
        <c:shape val="box"/>
        <c:axId val="1508643440"/>
        <c:axId val="1343252976"/>
        <c:axId val="0"/>
      </c:bar3DChart>
      <c:catAx>
        <c:axId val="150864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252976"/>
        <c:crosses val="autoZero"/>
        <c:auto val="1"/>
        <c:lblAlgn val="ctr"/>
        <c:lblOffset val="100"/>
        <c:noMultiLvlLbl val="0"/>
      </c:catAx>
      <c:valAx>
        <c:axId val="13432529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64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-3.xlsx]HEART ISSUE WEIGHT BY DIABETICS!PivotTable39</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'HEART ISSUE WEIGHT BY DIABETICS'!$B$3:$B$4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'HEART ISSUE WEIGHT BY DIABETICS'!$A$5:$A$9</c:f>
              <c:strCache>
                <c:ptCount val="4"/>
                <c:pt idx="0">
                  <c:v>Normal Weight</c:v>
                </c:pt>
                <c:pt idx="1">
                  <c:v>Obesity</c:v>
                </c:pt>
                <c:pt idx="2">
                  <c:v>Over Weight</c:v>
                </c:pt>
                <c:pt idx="3">
                  <c:v>Underweight</c:v>
                </c:pt>
              </c:strCache>
            </c:strRef>
          </c:cat>
          <c:val>
            <c:numRef>
              <c:f>'HEART ISSUE WEIGHT BY DIABETICS'!$B$5:$B$9</c:f>
              <c:numCache>
                <c:formatCode>General</c:formatCode>
                <c:ptCount val="4"/>
                <c:pt idx="0">
                  <c:v>13</c:v>
                </c:pt>
                <c:pt idx="1">
                  <c:v>82</c:v>
                </c:pt>
                <c:pt idx="2">
                  <c:v>21</c:v>
                </c:pt>
                <c:pt idx="3">
                  <c:v>2</c:v>
                </c:pt>
              </c:numCache>
            </c:numRef>
          </c:val>
          <c:extLst>
            <c:ext xmlns:c16="http://schemas.microsoft.com/office/drawing/2014/chart" uri="{C3380CC4-5D6E-409C-BE32-E72D297353CC}">
              <c16:uniqueId val="{00000000-DAB0-4D79-A336-8B911D9F178B}"/>
            </c:ext>
          </c:extLst>
        </c:ser>
        <c:ser>
          <c:idx val="1"/>
          <c:order val="1"/>
          <c:tx>
            <c:strRef>
              <c:f>'HEART ISSUE WEIGHT BY DIABETICS'!$C$3:$C$4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'HEART ISSUE WEIGHT BY DIABETICS'!$A$5:$A$9</c:f>
              <c:strCache>
                <c:ptCount val="4"/>
                <c:pt idx="0">
                  <c:v>Normal Weight</c:v>
                </c:pt>
                <c:pt idx="1">
                  <c:v>Obesity</c:v>
                </c:pt>
                <c:pt idx="2">
                  <c:v>Over Weight</c:v>
                </c:pt>
                <c:pt idx="3">
                  <c:v>Underweight</c:v>
                </c:pt>
              </c:strCache>
            </c:strRef>
          </c:cat>
          <c:val>
            <c:numRef>
              <c:f>'HEART ISSUE WEIGHT BY DIABETICS'!$C$5:$C$9</c:f>
              <c:numCache>
                <c:formatCode>General</c:formatCode>
                <c:ptCount val="4"/>
                <c:pt idx="0">
                  <c:v>15</c:v>
                </c:pt>
                <c:pt idx="1">
                  <c:v>84</c:v>
                </c:pt>
                <c:pt idx="2">
                  <c:v>17</c:v>
                </c:pt>
                <c:pt idx="3">
                  <c:v>12</c:v>
                </c:pt>
              </c:numCache>
            </c:numRef>
          </c:val>
          <c:extLst>
            <c:ext xmlns:c16="http://schemas.microsoft.com/office/drawing/2014/chart" uri="{C3380CC4-5D6E-409C-BE32-E72D297353CC}">
              <c16:uniqueId val="{00000001-DAB0-4D79-A336-8B911D9F178B}"/>
            </c:ext>
          </c:extLst>
        </c:ser>
        <c:ser>
          <c:idx val="2"/>
          <c:order val="2"/>
          <c:tx>
            <c:strRef>
              <c:f>'HEART ISSUE WEIGHT BY DIABETICS'!$D$3:$D$4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'HEART ISSUE WEIGHT BY DIABETICS'!$A$5:$A$9</c:f>
              <c:strCache>
                <c:ptCount val="4"/>
                <c:pt idx="0">
                  <c:v>Normal Weight</c:v>
                </c:pt>
                <c:pt idx="1">
                  <c:v>Obesity</c:v>
                </c:pt>
                <c:pt idx="2">
                  <c:v>Over Weight</c:v>
                </c:pt>
                <c:pt idx="3">
                  <c:v>Underweight</c:v>
                </c:pt>
              </c:strCache>
            </c:strRef>
          </c:cat>
          <c:val>
            <c:numRef>
              <c:f>'HEART ISSUE WEIGHT BY DIABETICS'!$D$5:$D$9</c:f>
              <c:numCache>
                <c:formatCode>General</c:formatCode>
                <c:ptCount val="4"/>
                <c:pt idx="0">
                  <c:v>7</c:v>
                </c:pt>
                <c:pt idx="1">
                  <c:v>26</c:v>
                </c:pt>
                <c:pt idx="2">
                  <c:v>9</c:v>
                </c:pt>
                <c:pt idx="3">
                  <c:v>1</c:v>
                </c:pt>
              </c:numCache>
            </c:numRef>
          </c:val>
          <c:extLst>
            <c:ext xmlns:c16="http://schemas.microsoft.com/office/drawing/2014/chart" uri="{C3380CC4-5D6E-409C-BE32-E72D297353CC}">
              <c16:uniqueId val="{00000002-DAB0-4D79-A336-8B911D9F178B}"/>
            </c:ext>
          </c:extLst>
        </c:ser>
        <c:dLbls>
          <c:showLegendKey val="0"/>
          <c:showVal val="0"/>
          <c:showCatName val="0"/>
          <c:showSerName val="0"/>
          <c:showPercent val="0"/>
          <c:showBubbleSize val="0"/>
        </c:dLbls>
        <c:axId val="1101578176"/>
        <c:axId val="1343361456"/>
        <c:axId val="1452014224"/>
      </c:area3DChart>
      <c:catAx>
        <c:axId val="110157817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361456"/>
        <c:crosses val="autoZero"/>
        <c:auto val="1"/>
        <c:lblAlgn val="ctr"/>
        <c:lblOffset val="100"/>
        <c:noMultiLvlLbl val="0"/>
      </c:catAx>
      <c:valAx>
        <c:axId val="13433614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578176"/>
        <c:crosses val="autoZero"/>
        <c:crossBetween val="midCat"/>
      </c:valAx>
      <c:serAx>
        <c:axId val="145201422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3614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-3.xlsx]Smoker by cancer!PivotTable22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'Smoker by cancer'!$B$3:$B$4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'Smoker by cancer'!$A$5:$A$7</c:f>
              <c:strCache>
                <c:ptCount val="2"/>
                <c:pt idx="0">
                  <c:v>No</c:v>
                </c:pt>
                <c:pt idx="1">
                  <c:v>Yes</c:v>
                </c:pt>
              </c:strCache>
            </c:strRef>
          </c:cat>
          <c:val>
            <c:numRef>
              <c:f>'Smoker by cancer'!$B$5:$B$7</c:f>
              <c:numCache>
                <c:formatCode>General</c:formatCode>
                <c:ptCount val="2"/>
                <c:pt idx="0">
                  <c:v>179</c:v>
                </c:pt>
                <c:pt idx="1">
                  <c:v>401</c:v>
                </c:pt>
              </c:numCache>
            </c:numRef>
          </c:val>
          <c:extLst>
            <c:ext xmlns:c16="http://schemas.microsoft.com/office/drawing/2014/chart" uri="{C3380CC4-5D6E-409C-BE32-E72D297353CC}">
              <c16:uniqueId val="{00000000-8720-47D3-B475-7549EBD428D9}"/>
            </c:ext>
          </c:extLst>
        </c:ser>
        <c:ser>
          <c:idx val="1"/>
          <c:order val="1"/>
          <c:tx>
            <c:strRef>
              <c:f>'Smoker by cancer'!$C$3:$C$4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'Smoker by cancer'!$A$5:$A$7</c:f>
              <c:strCache>
                <c:ptCount val="2"/>
                <c:pt idx="0">
                  <c:v>No</c:v>
                </c:pt>
                <c:pt idx="1">
                  <c:v>Yes</c:v>
                </c:pt>
              </c:strCache>
            </c:strRef>
          </c:cat>
          <c:val>
            <c:numRef>
              <c:f>'Smoker by cancer'!$C$5:$C$7</c:f>
              <c:numCache>
                <c:formatCode>General</c:formatCode>
                <c:ptCount val="2"/>
                <c:pt idx="0">
                  <c:v>40</c:v>
                </c:pt>
                <c:pt idx="1">
                  <c:v>83</c:v>
                </c:pt>
              </c:numCache>
            </c:numRef>
          </c:val>
          <c:extLst>
            <c:ext xmlns:c16="http://schemas.microsoft.com/office/drawing/2014/chart" uri="{C3380CC4-5D6E-409C-BE32-E72D297353CC}">
              <c16:uniqueId val="{00000001-8720-47D3-B475-7549EBD428D9}"/>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-3.xlsx]Transplant sheet!PivotTable23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'Transplant sheet'!$B$3</c:f>
              <c:strCache>
                <c:ptCount val="1"/>
                <c:pt idx="0">
                  <c:v>Sum of NUMBEROFMAJORSURJERIES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'Transplant sheet'!$A$4:$A$6</c:f>
              <c:strCache>
                <c:ptCount val="2"/>
                <c:pt idx="0">
                  <c:v>No</c:v>
                </c:pt>
                <c:pt idx="1">
                  <c:v>yes</c:v>
                </c:pt>
              </c:strCache>
            </c:strRef>
          </c:cat>
          <c:val>
            <c:numRef>
              <c:f>'Transplant sheet'!$B$4:$B$6</c:f>
              <c:numCache>
                <c:formatCode>General</c:formatCode>
                <c:ptCount val="2"/>
                <c:pt idx="0">
                  <c:v>477</c:v>
                </c:pt>
                <c:pt idx="1">
                  <c:v>30</c:v>
                </c:pt>
              </c:numCache>
            </c:numRef>
          </c:val>
          <c:extLst>
            <c:ext xmlns:c16="http://schemas.microsoft.com/office/drawing/2014/chart" uri="{C3380CC4-5D6E-409C-BE32-E72D297353CC}">
              <c16:uniqueId val="{00000000-08F7-43EF-A996-A4847804FC2F}"/>
            </c:ext>
          </c:extLst>
        </c:ser>
        <c:ser>
          <c:idx val="1"/>
          <c:order val="1"/>
          <c:tx>
            <c:strRef>
              <c:f>'Transplant sheet'!$C$3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'Transplant sheet'!$A$4:$A$6</c:f>
              <c:strCache>
                <c:ptCount val="2"/>
                <c:pt idx="0">
                  <c:v>No</c:v>
                </c:pt>
                <c:pt idx="1">
                  <c:v>yes</c:v>
                </c:pt>
              </c:strCache>
            </c:strRef>
          </c:cat>
          <c:val>
            <c:numRef>
              <c:f>'Transplant sheet'!$C$4:$C$6</c:f>
              <c:numCache>
                <c:formatCode>0.00</c:formatCode>
                <c:ptCount val="2"/>
                <c:pt idx="0">
                  <c:v>6.9035051546391788</c:v>
                </c:pt>
                <c:pt idx="1">
                  <c:v>5.1287500000000001</c:v>
                </c:pt>
              </c:numCache>
            </c:numRef>
          </c:val>
          <c:extLst>
            <c:ext xmlns:c16="http://schemas.microsoft.com/office/drawing/2014/chart" uri="{C3380CC4-5D6E-409C-BE32-E72D297353CC}">
              <c16:uniqueId val="{00000001-08F7-43EF-A996-A4847804FC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-3.xlsx]Charges by Weight and Diabetics!PivotTable24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'Charges by Weight and Diabetics'!$B$3:$B$4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'Charges by Weight and Diabetics'!$A$5:$A$9</c:f>
              <c:strCache>
                <c:ptCount val="4"/>
                <c:pt idx="0">
                  <c:v>Normal Weight</c:v>
                </c:pt>
                <c:pt idx="1">
                  <c:v>Obesity</c:v>
                </c:pt>
                <c:pt idx="2">
                  <c:v>Over Weight</c:v>
                </c:pt>
                <c:pt idx="3">
                  <c:v>Underweight</c:v>
                </c:pt>
              </c:strCache>
            </c:strRef>
          </c:cat>
          <c:val>
            <c:numRef>
              <c:f>'Charges by Weight and Diabetics'!$B$5:$B$9</c:f>
              <c:numCache>
                <c:formatCode>0.00</c:formatCode>
                <c:ptCount val="4"/>
                <c:pt idx="0">
                  <c:v>27342.583124999997</c:v>
                </c:pt>
                <c:pt idx="1">
                  <c:v>30120.066938775486</c:v>
                </c:pt>
                <c:pt idx="2">
                  <c:v>26191.81553191489</c:v>
                </c:pt>
                <c:pt idx="3">
                  <c:v>29293.351999999995</c:v>
                </c:pt>
              </c:numCache>
            </c:numRef>
          </c:val>
          <c:extLst>
            <c:ext xmlns:c16="http://schemas.microsoft.com/office/drawing/2014/chart" uri="{C3380CC4-5D6E-409C-BE32-E72D297353CC}">
              <c16:uniqueId val="{00000000-4857-4766-B2B1-6E0AFC467B26}"/>
            </c:ext>
          </c:extLst>
        </c:ser>
        <c:ser>
          <c:idx val="1"/>
          <c:order val="1"/>
          <c:tx>
            <c:strRef>
              <c:f>'Charges by Weight and Diabetics'!$C$3:$C$4</c:f>
              <c:strCache>
                <c:ptCount val="1"/>
                <c:pt idx="0">
                  <c:v>Normal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'Charges by Weight and Diabetics'!$A$5:$A$9</c:f>
              <c:strCache>
                <c:ptCount val="4"/>
                <c:pt idx="0">
                  <c:v>Normal Weight</c:v>
                </c:pt>
                <c:pt idx="1">
                  <c:v>Obesity</c:v>
                </c:pt>
                <c:pt idx="2">
                  <c:v>Over Weight</c:v>
                </c:pt>
                <c:pt idx="3">
                  <c:v>Underweight</c:v>
                </c:pt>
              </c:strCache>
            </c:strRef>
          </c:cat>
          <c:val>
            <c:numRef>
              <c:f>'Charges by Weight and Diabetics'!$C$5:$C$9</c:f>
              <c:numCache>
                <c:formatCode>0.00</c:formatCode>
                <c:ptCount val="4"/>
                <c:pt idx="0">
                  <c:v>21312.952790697665</c:v>
                </c:pt>
                <c:pt idx="1">
                  <c:v>31027.310052910045</c:v>
                </c:pt>
                <c:pt idx="2">
                  <c:v>23637.316315789471</c:v>
                </c:pt>
                <c:pt idx="3">
                  <c:v>25984.408571428572</c:v>
                </c:pt>
              </c:numCache>
            </c:numRef>
          </c:val>
          <c:extLst>
            <c:ext xmlns:c16="http://schemas.microsoft.com/office/drawing/2014/chart" uri="{C3380CC4-5D6E-409C-BE32-E72D297353CC}">
              <c16:uniqueId val="{00000001-4857-4766-B2B1-6E0AFC467B26}"/>
            </c:ext>
          </c:extLst>
        </c:ser>
        <c:ser>
          <c:idx val="2"/>
          <c:order val="2"/>
          <c:tx>
            <c:strRef>
              <c:f>'Charges by Weight and Diabetics'!$D$3:$D$4</c:f>
              <c:strCache>
                <c:ptCount val="1"/>
                <c:pt idx="0">
                  <c:v>Prediabetes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'Charges by Weight and Diabetics'!$A$5:$A$9</c:f>
              <c:strCache>
                <c:ptCount val="4"/>
                <c:pt idx="0">
                  <c:v>Normal Weight</c:v>
                </c:pt>
                <c:pt idx="1">
                  <c:v>Obesity</c:v>
                </c:pt>
                <c:pt idx="2">
                  <c:v>Over Weight</c:v>
                </c:pt>
                <c:pt idx="3">
                  <c:v>Underweight</c:v>
                </c:pt>
              </c:strCache>
            </c:strRef>
          </c:cat>
          <c:val>
            <c:numRef>
              <c:f>'Charges by Weight and Diabetics'!$D$5:$D$9</c:f>
              <c:numCache>
                <c:formatCode>0.00</c:formatCode>
                <c:ptCount val="4"/>
                <c:pt idx="0">
                  <c:v>24892.036250000001</c:v>
                </c:pt>
                <c:pt idx="1">
                  <c:v>34787.776571428585</c:v>
                </c:pt>
                <c:pt idx="2">
                  <c:v>23457.054347826092</c:v>
                </c:pt>
                <c:pt idx="3">
                  <c:v>24651.463333333333</c:v>
                </c:pt>
              </c:numCache>
            </c:numRef>
          </c:val>
          <c:extLst>
            <c:ext xmlns:c16="http://schemas.microsoft.com/office/drawing/2014/chart" uri="{C3380CC4-5D6E-409C-BE32-E72D297353CC}">
              <c16:uniqueId val="{00000002-4857-4766-B2B1-6E0AFC467B26}"/>
            </c:ext>
          </c:extLst>
        </c:ser>
        <c:dLbls>
          <c:showLegendKey val="0"/>
          <c:showVal val="0"/>
          <c:showCatName val="0"/>
          <c:showSerName val="0"/>
          <c:showPercent val="0"/>
          <c:showBubbleSize val="0"/>
        </c:dLbls>
        <c:gapWidth val="150"/>
        <c:shape val="box"/>
        <c:axId val="1508618384"/>
        <c:axId val="1343245296"/>
        <c:axId val="0"/>
      </c:bar3DChart>
      <c:catAx>
        <c:axId val="15086183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245296"/>
        <c:crosses val="autoZero"/>
        <c:auto val="1"/>
        <c:lblAlgn val="ctr"/>
        <c:lblOffset val="100"/>
        <c:noMultiLvlLbl val="0"/>
      </c:catAx>
      <c:valAx>
        <c:axId val="134324529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61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-3.xlsx]Hospital State Tier!PivotTable25</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'Hospital State Tier'!$B$3:$B$4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'Hospital State Tier'!$A$5:$A$21</c:f>
              <c:strCache>
                <c:ptCount val="16"/>
                <c:pt idx="0">
                  <c:v>R1011</c:v>
                </c:pt>
                <c:pt idx="1">
                  <c:v>R1012</c:v>
                </c:pt>
                <c:pt idx="2">
                  <c:v>R1013</c:v>
                </c:pt>
                <c:pt idx="3">
                  <c:v>R1014</c:v>
                </c:pt>
                <c:pt idx="4">
                  <c:v>R1015</c:v>
                </c:pt>
                <c:pt idx="5">
                  <c:v>R1016</c:v>
                </c:pt>
                <c:pt idx="6">
                  <c:v>R1017</c:v>
                </c:pt>
                <c:pt idx="7">
                  <c:v>R1018</c:v>
                </c:pt>
                <c:pt idx="8">
                  <c:v>R1019</c:v>
                </c:pt>
                <c:pt idx="9">
                  <c:v>R1021</c:v>
                </c:pt>
                <c:pt idx="10">
                  <c:v>R1022</c:v>
                </c:pt>
                <c:pt idx="11">
                  <c:v>R1023</c:v>
                </c:pt>
                <c:pt idx="12">
                  <c:v>R1024</c:v>
                </c:pt>
                <c:pt idx="13">
                  <c:v>R1025</c:v>
                </c:pt>
                <c:pt idx="14">
                  <c:v>R1026</c:v>
                </c:pt>
                <c:pt idx="15">
                  <c:v>unknown</c:v>
                </c:pt>
              </c:strCache>
            </c:strRef>
          </c:cat>
          <c:val>
            <c:numRef>
              <c:f>'Hospital State Tier'!$B$5:$B$21</c:f>
              <c:numCache>
                <c:formatCode>"₹"\ #,##0.00</c:formatCode>
                <c:ptCount val="16"/>
                <c:pt idx="0">
                  <c:v>34430.471052631561</c:v>
                </c:pt>
                <c:pt idx="1">
                  <c:v>28715.307678571418</c:v>
                </c:pt>
                <c:pt idx="2">
                  <c:v>33450.835873015865</c:v>
                </c:pt>
                <c:pt idx="3">
                  <c:v>33406.406666666669</c:v>
                </c:pt>
                <c:pt idx="4">
                  <c:v>39556.49</c:v>
                </c:pt>
                <c:pt idx="5">
                  <c:v>39868.616250000006</c:v>
                </c:pt>
                <c:pt idx="6">
                  <c:v>34070.595714285715</c:v>
                </c:pt>
                <c:pt idx="7">
                  <c:v>33475.82</c:v>
                </c:pt>
                <c:pt idx="8">
                  <c:v>27621.609999999997</c:v>
                </c:pt>
                <c:pt idx="11">
                  <c:v>18261.7575</c:v>
                </c:pt>
                <c:pt idx="12">
                  <c:v>32732.187142857143</c:v>
                </c:pt>
                <c:pt idx="14">
                  <c:v>18709.798000000003</c:v>
                </c:pt>
                <c:pt idx="15">
                  <c:v>37165.160000000003</c:v>
                </c:pt>
              </c:numCache>
            </c:numRef>
          </c:val>
          <c:extLst>
            <c:ext xmlns:c16="http://schemas.microsoft.com/office/drawing/2014/chart" uri="{C3380CC4-5D6E-409C-BE32-E72D297353CC}">
              <c16:uniqueId val="{00000000-613B-4BE4-94B2-D3336A7288CF}"/>
            </c:ext>
          </c:extLst>
        </c:ser>
        <c:ser>
          <c:idx val="1"/>
          <c:order val="1"/>
          <c:tx>
            <c:strRef>
              <c:f>'Hospital State Tier'!$C$3:$C$4</c:f>
              <c:strCache>
                <c:ptCount val="1"/>
                <c:pt idx="0">
                  <c:v>tier - 2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'Hospital State Tier'!$A$5:$A$21</c:f>
              <c:strCache>
                <c:ptCount val="16"/>
                <c:pt idx="0">
                  <c:v>R1011</c:v>
                </c:pt>
                <c:pt idx="1">
                  <c:v>R1012</c:v>
                </c:pt>
                <c:pt idx="2">
                  <c:v>R1013</c:v>
                </c:pt>
                <c:pt idx="3">
                  <c:v>R1014</c:v>
                </c:pt>
                <c:pt idx="4">
                  <c:v>R1015</c:v>
                </c:pt>
                <c:pt idx="5">
                  <c:v>R1016</c:v>
                </c:pt>
                <c:pt idx="6">
                  <c:v>R1017</c:v>
                </c:pt>
                <c:pt idx="7">
                  <c:v>R1018</c:v>
                </c:pt>
                <c:pt idx="8">
                  <c:v>R1019</c:v>
                </c:pt>
                <c:pt idx="9">
                  <c:v>R1021</c:v>
                </c:pt>
                <c:pt idx="10">
                  <c:v>R1022</c:v>
                </c:pt>
                <c:pt idx="11">
                  <c:v>R1023</c:v>
                </c:pt>
                <c:pt idx="12">
                  <c:v>R1024</c:v>
                </c:pt>
                <c:pt idx="13">
                  <c:v>R1025</c:v>
                </c:pt>
                <c:pt idx="14">
                  <c:v>R1026</c:v>
                </c:pt>
                <c:pt idx="15">
                  <c:v>unknown</c:v>
                </c:pt>
              </c:strCache>
            </c:strRef>
          </c:cat>
          <c:val>
            <c:numRef>
              <c:f>'Hospital State Tier'!$C$5:$C$21</c:f>
              <c:numCache>
                <c:formatCode>"₹"\ #,##0.00</c:formatCode>
                <c:ptCount val="16"/>
                <c:pt idx="0">
                  <c:v>31099.510662650599</c:v>
                </c:pt>
                <c:pt idx="1">
                  <c:v>23721.452906976734</c:v>
                </c:pt>
                <c:pt idx="2">
                  <c:v>30385.157843137262</c:v>
                </c:pt>
                <c:pt idx="4">
                  <c:v>26907.877499999995</c:v>
                </c:pt>
                <c:pt idx="5">
                  <c:v>27587.191666666666</c:v>
                </c:pt>
                <c:pt idx="6">
                  <c:v>22996.254000000001</c:v>
                </c:pt>
                <c:pt idx="7">
                  <c:v>18818.014999999999</c:v>
                </c:pt>
                <c:pt idx="8">
                  <c:v>17178.68</c:v>
                </c:pt>
                <c:pt idx="9">
                  <c:v>14809.3</c:v>
                </c:pt>
                <c:pt idx="10">
                  <c:v>15164.703333333333</c:v>
                </c:pt>
                <c:pt idx="11">
                  <c:v>17275.116428571429</c:v>
                </c:pt>
                <c:pt idx="12">
                  <c:v>21757.921379310341</c:v>
                </c:pt>
                <c:pt idx="13">
                  <c:v>14574.64</c:v>
                </c:pt>
                <c:pt idx="14">
                  <c:v>15775.420526315786</c:v>
                </c:pt>
              </c:numCache>
            </c:numRef>
          </c:val>
          <c:extLst>
            <c:ext xmlns:c16="http://schemas.microsoft.com/office/drawing/2014/chart" uri="{C3380CC4-5D6E-409C-BE32-E72D297353CC}">
              <c16:uniqueId val="{00000002-613B-4BE4-94B2-D3336A7288CF}"/>
            </c:ext>
          </c:extLst>
        </c:ser>
        <c:ser>
          <c:idx val="2"/>
          <c:order val="2"/>
          <c:tx>
            <c:strRef>
              <c:f>'Hospital State Tier'!$D$3:$D$4</c:f>
              <c:strCache>
                <c:ptCount val="1"/>
                <c:pt idx="0">
                  <c:v>tier - 3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'Hospital State Tier'!$A$5:$A$21</c:f>
              <c:strCache>
                <c:ptCount val="16"/>
                <c:pt idx="0">
                  <c:v>R1011</c:v>
                </c:pt>
                <c:pt idx="1">
                  <c:v>R1012</c:v>
                </c:pt>
                <c:pt idx="2">
                  <c:v>R1013</c:v>
                </c:pt>
                <c:pt idx="3">
                  <c:v>R1014</c:v>
                </c:pt>
                <c:pt idx="4">
                  <c:v>R1015</c:v>
                </c:pt>
                <c:pt idx="5">
                  <c:v>R1016</c:v>
                </c:pt>
                <c:pt idx="6">
                  <c:v>R1017</c:v>
                </c:pt>
                <c:pt idx="7">
                  <c:v>R1018</c:v>
                </c:pt>
                <c:pt idx="8">
                  <c:v>R1019</c:v>
                </c:pt>
                <c:pt idx="9">
                  <c:v>R1021</c:v>
                </c:pt>
                <c:pt idx="10">
                  <c:v>R1022</c:v>
                </c:pt>
                <c:pt idx="11">
                  <c:v>R1023</c:v>
                </c:pt>
                <c:pt idx="12">
                  <c:v>R1024</c:v>
                </c:pt>
                <c:pt idx="13">
                  <c:v>R1025</c:v>
                </c:pt>
                <c:pt idx="14">
                  <c:v>R1026</c:v>
                </c:pt>
                <c:pt idx="15">
                  <c:v>unknown</c:v>
                </c:pt>
              </c:strCache>
            </c:strRef>
          </c:cat>
          <c:val>
            <c:numRef>
              <c:f>'Hospital State Tier'!$D$5:$D$21</c:f>
              <c:numCache>
                <c:formatCode>"₹"\ #,##0.00</c:formatCode>
                <c:ptCount val="16"/>
                <c:pt idx="0">
                  <c:v>21325.071428571428</c:v>
                </c:pt>
                <c:pt idx="1">
                  <c:v>21389.964285714286</c:v>
                </c:pt>
                <c:pt idx="2">
                  <c:v>21647.654999999999</c:v>
                </c:pt>
                <c:pt idx="3">
                  <c:v>22412.65</c:v>
                </c:pt>
                <c:pt idx="5">
                  <c:v>20277.810000000001</c:v>
                </c:pt>
                <c:pt idx="8">
                  <c:v>21476.813333333335</c:v>
                </c:pt>
                <c:pt idx="12">
                  <c:v>21493.744000000002</c:v>
                </c:pt>
                <c:pt idx="14">
                  <c:v>20354.5</c:v>
                </c:pt>
              </c:numCache>
            </c:numRef>
          </c:val>
          <c:extLst>
            <c:ext xmlns:c16="http://schemas.microsoft.com/office/drawing/2014/chart" uri="{C3380CC4-5D6E-409C-BE32-E72D297353CC}">
              <c16:uniqueId val="{00000003-613B-4BE4-94B2-D3336A7288CF}"/>
            </c:ext>
          </c:extLst>
        </c:ser>
        <c:dLbls>
          <c:showLegendKey val="0"/>
          <c:showVal val="0"/>
          <c:showCatName val="0"/>
          <c:showSerName val="0"/>
          <c:showPercent val="0"/>
          <c:showBubbleSize val="0"/>
        </c:dLbls>
        <c:gapWidth val="150"/>
        <c:shape val="box"/>
        <c:axId val="1450506128"/>
        <c:axId val="1343283696"/>
        <c:axId val="0"/>
      </c:bar3DChart>
      <c:catAx>
        <c:axId val="1450506128"/>
        <c:scaling>
          <c:orientation val="minMax"/>
        </c:scaling>
        <c:delete val="1"/>
        <c:axPos val="l"/>
        <c:numFmt formatCode="General" sourceLinked="1"/>
        <c:majorTickMark val="out"/>
        <c:minorTickMark val="none"/>
        <c:tickLblPos val="nextTo"/>
        <c:crossAx val="1343283696"/>
        <c:crosses val="autoZero"/>
        <c:auto val="1"/>
        <c:lblAlgn val="ctr"/>
        <c:lblOffset val="100"/>
        <c:noMultiLvlLbl val="0"/>
      </c:catAx>
      <c:valAx>
        <c:axId val="1343283696"/>
        <c:scaling>
          <c:orientation val="minMax"/>
        </c:scaling>
        <c:delete val="0"/>
        <c:axPos val="b"/>
        <c:majorGridlines>
          <c:spPr>
            <a:ln w="9525" cap="flat" cmpd="sng" algn="ctr">
              <a:solidFill>
                <a:schemeClr val="dk1">
                  <a:lumMod val="50000"/>
                  <a:lumOff val="50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050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-3.xlsx]Average  Charges by Weight!PivotTable34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'Average  Charges by Weight'!$B$3</c:f>
              <c:strCache>
                <c:ptCount val="1"/>
                <c:pt idx="0">
                  <c:v>Total</c:v>
                </c:pt>
              </c:strCache>
            </c:strRef>
          </c:tx>
          <c:spPr>
            <a:solidFill>
              <a:schemeClr val="accent1"/>
            </a:solidFill>
            <a:ln>
              <a:noFill/>
            </a:ln>
            <a:effectLst/>
            <a:sp3d/>
          </c:spPr>
          <c:invertIfNegative val="0"/>
          <c:cat>
            <c:strRef>
              <c:f>'Average  Charges by Weight'!$A$4:$A$8</c:f>
              <c:strCache>
                <c:ptCount val="4"/>
                <c:pt idx="0">
                  <c:v>Normal Weight</c:v>
                </c:pt>
                <c:pt idx="1">
                  <c:v>Obesity</c:v>
                </c:pt>
                <c:pt idx="2">
                  <c:v>Over Weight</c:v>
                </c:pt>
                <c:pt idx="3">
                  <c:v>Underweight</c:v>
                </c:pt>
              </c:strCache>
            </c:strRef>
          </c:cat>
          <c:val>
            <c:numRef>
              <c:f>'Average  Charges by Weight'!$B$4:$B$8</c:f>
              <c:numCache>
                <c:formatCode>General</c:formatCode>
                <c:ptCount val="4"/>
                <c:pt idx="0">
                  <c:v>24129.580808080816</c:v>
                </c:pt>
                <c:pt idx="1">
                  <c:v>31215.030945054979</c:v>
                </c:pt>
                <c:pt idx="2">
                  <c:v>24550.036299212592</c:v>
                </c:pt>
                <c:pt idx="3">
                  <c:v>26554.675909090907</c:v>
                </c:pt>
              </c:numCache>
            </c:numRef>
          </c:val>
          <c:extLst>
            <c:ext xmlns:c16="http://schemas.microsoft.com/office/drawing/2014/chart" uri="{C3380CC4-5D6E-409C-BE32-E72D297353CC}">
              <c16:uniqueId val="{00000000-AFB7-4527-AD1F-0F39311CC81E}"/>
            </c:ext>
          </c:extLst>
        </c:ser>
        <c:dLbls>
          <c:showLegendKey val="0"/>
          <c:showVal val="0"/>
          <c:showCatName val="0"/>
          <c:showSerName val="0"/>
          <c:showPercent val="0"/>
          <c:showBubbleSize val="0"/>
        </c:dLbls>
        <c:gapWidth val="150"/>
        <c:shape val="box"/>
        <c:axId val="1450492672"/>
        <c:axId val="1343244336"/>
        <c:axId val="0"/>
      </c:bar3DChart>
      <c:catAx>
        <c:axId val="1450492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244336"/>
        <c:crosses val="autoZero"/>
        <c:auto val="1"/>
        <c:lblAlgn val="ctr"/>
        <c:lblOffset val="100"/>
        <c:noMultiLvlLbl val="0"/>
      </c:catAx>
      <c:valAx>
        <c:axId val="134324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49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-3.xlsx]DIABETICS STATUS!PivotTable35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'DIABETICS STATUS'!$A$3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'DIABETICS STATUS'!$A$4</c:f>
              <c:strCache>
                <c:ptCount val="1"/>
                <c:pt idx="0">
                  <c:v>Total</c:v>
                </c:pt>
              </c:strCache>
            </c:strRef>
          </c:cat>
          <c:val>
            <c:numRef>
              <c:f>'DIABETICS STATUS'!$A$4</c:f>
              <c:numCache>
                <c:formatCode>General</c:formatCode>
                <c:ptCount val="1"/>
                <c:pt idx="0">
                  <c:v>280</c:v>
                </c:pt>
              </c:numCache>
            </c:numRef>
          </c:val>
          <c:extLst>
            <c:ext xmlns:c16="http://schemas.microsoft.com/office/drawing/2014/chart" uri="{C3380CC4-5D6E-409C-BE32-E72D297353CC}">
              <c16:uniqueId val="{00000002-7C43-4094-9D1B-007544807616}"/>
            </c:ext>
          </c:extLst>
        </c:ser>
        <c:dLbls>
          <c:showLegendKey val="0"/>
          <c:showVal val="0"/>
          <c:showCatName val="0"/>
          <c:showSerName val="0"/>
          <c:showPercent val="0"/>
          <c:showBubbleSize val="0"/>
        </c:dLbls>
        <c:gapWidth val="150"/>
        <c:shape val="box"/>
        <c:axId val="1508643440"/>
        <c:axId val="1343252976"/>
        <c:axId val="0"/>
      </c:bar3DChart>
      <c:catAx>
        <c:axId val="150864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252976"/>
        <c:crosses val="autoZero"/>
        <c:auto val="1"/>
        <c:lblAlgn val="ctr"/>
        <c:lblOffset val="100"/>
        <c:noMultiLvlLbl val="0"/>
      </c:catAx>
      <c:valAx>
        <c:axId val="13432529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64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-3.xlsx]CANCER HISTORY!PivotTable37</c:name>
    <c:fmtId val="0"/>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'CANCER HISTORY'!$B$3:$B$4</c:f>
              <c:strCache>
                <c:ptCount val="1"/>
                <c:pt idx="0">
                  <c:v>No</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'CANCER HISTORY'!$A$5:$A$7</c:f>
              <c:strCache>
                <c:ptCount val="2"/>
                <c:pt idx="0">
                  <c:v>No</c:v>
                </c:pt>
                <c:pt idx="1">
                  <c:v>Yes</c:v>
                </c:pt>
              </c:strCache>
            </c:strRef>
          </c:cat>
          <c:val>
            <c:numRef>
              <c:f>'CANCER HISTORY'!$B$5:$B$7</c:f>
              <c:numCache>
                <c:formatCode>General</c:formatCode>
                <c:ptCount val="2"/>
                <c:pt idx="0">
                  <c:v>354</c:v>
                </c:pt>
                <c:pt idx="1">
                  <c:v>60</c:v>
                </c:pt>
              </c:numCache>
            </c:numRef>
          </c:val>
          <c:extLst>
            <c:ext xmlns:c16="http://schemas.microsoft.com/office/drawing/2014/chart" uri="{C3380CC4-5D6E-409C-BE32-E72D297353CC}">
              <c16:uniqueId val="{00000000-3CA3-4AE3-B501-1969799F74A8}"/>
            </c:ext>
          </c:extLst>
        </c:ser>
        <c:ser>
          <c:idx val="1"/>
          <c:order val="1"/>
          <c:tx>
            <c:strRef>
              <c:f>'CANCER HISTORY'!$C$3:$C$4</c:f>
              <c:strCache>
                <c:ptCount val="1"/>
                <c:pt idx="0">
                  <c:v>yes</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'CANCER HISTORY'!$A$5:$A$7</c:f>
              <c:strCache>
                <c:ptCount val="2"/>
                <c:pt idx="0">
                  <c:v>No</c:v>
                </c:pt>
                <c:pt idx="1">
                  <c:v>Yes</c:v>
                </c:pt>
              </c:strCache>
            </c:strRef>
          </c:cat>
          <c:val>
            <c:numRef>
              <c:f>'CANCER HISTORY'!$C$5:$C$7</c:f>
              <c:numCache>
                <c:formatCode>General</c:formatCode>
                <c:ptCount val="2"/>
                <c:pt idx="0">
                  <c:v>226</c:v>
                </c:pt>
                <c:pt idx="1">
                  <c:v>63</c:v>
                </c:pt>
              </c:numCache>
            </c:numRef>
          </c:val>
          <c:extLst>
            <c:ext xmlns:c16="http://schemas.microsoft.com/office/drawing/2014/chart" uri="{C3380CC4-5D6E-409C-BE32-E72D297353CC}">
              <c16:uniqueId val="{00000003-3CA3-4AE3-B501-1969799F74A8}"/>
            </c:ext>
          </c:extLst>
        </c:ser>
        <c:dLbls>
          <c:showLegendKey val="0"/>
          <c:showVal val="1"/>
          <c:showCatName val="0"/>
          <c:showSerName val="0"/>
          <c:showPercent val="0"/>
          <c:showBubbleSize val="0"/>
        </c:dLbls>
        <c:gapWidth val="84"/>
        <c:gapDepth val="53"/>
        <c:shape val="box"/>
        <c:axId val="1508698656"/>
        <c:axId val="1343299056"/>
        <c:axId val="0"/>
      </c:bar3DChart>
      <c:catAx>
        <c:axId val="1508698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3299056"/>
        <c:crosses val="autoZero"/>
        <c:auto val="1"/>
        <c:lblAlgn val="ctr"/>
        <c:lblOffset val="100"/>
        <c:noMultiLvlLbl val="0"/>
      </c:catAx>
      <c:valAx>
        <c:axId val="1343299056"/>
        <c:scaling>
          <c:orientation val="minMax"/>
        </c:scaling>
        <c:delete val="1"/>
        <c:axPos val="l"/>
        <c:numFmt formatCode="General" sourceLinked="1"/>
        <c:majorTickMark val="out"/>
        <c:minorTickMark val="none"/>
        <c:tickLblPos val="nextTo"/>
        <c:crossAx val="150869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-3.xlsx]WEIGHT STATUS!PivotTable36</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'WEIGHT STATUS'!$B$3:$B$4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'WEIGHT STATUS'!$A$5</c:f>
              <c:strCache>
                <c:ptCount val="1"/>
                <c:pt idx="0">
                  <c:v>Total</c:v>
                </c:pt>
              </c:strCache>
            </c:strRef>
          </c:cat>
          <c:val>
            <c:numRef>
              <c:f>'WEIGHT STATUS'!$B$5</c:f>
              <c:numCache>
                <c:formatCode>General</c:formatCode>
                <c:ptCount val="1"/>
                <c:pt idx="0">
                  <c:v>7</c:v>
                </c:pt>
              </c:numCache>
            </c:numRef>
          </c:val>
          <c:extLst>
            <c:ext xmlns:c16="http://schemas.microsoft.com/office/drawing/2014/chart" uri="{C3380CC4-5D6E-409C-BE32-E72D297353CC}">
              <c16:uniqueId val="{00000000-89F5-4498-A0D6-FA2082E32687}"/>
            </c:ext>
          </c:extLst>
        </c:ser>
        <c:ser>
          <c:idx val="1"/>
          <c:order val="1"/>
          <c:tx>
            <c:strRef>
              <c:f>'WEIGHT STATUS'!$C$3:$C$4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'WEIGHT STATUS'!$A$5</c:f>
              <c:strCache>
                <c:ptCount val="1"/>
                <c:pt idx="0">
                  <c:v>Total</c:v>
                </c:pt>
              </c:strCache>
            </c:strRef>
          </c:cat>
          <c:val>
            <c:numRef>
              <c:f>'WEIGHT STATUS'!$C$5</c:f>
              <c:numCache>
                <c:formatCode>General</c:formatCode>
                <c:ptCount val="1"/>
                <c:pt idx="0">
                  <c:v>15</c:v>
                </c:pt>
              </c:numCache>
            </c:numRef>
          </c:val>
          <c:extLst>
            <c:ext xmlns:c16="http://schemas.microsoft.com/office/drawing/2014/chart" uri="{C3380CC4-5D6E-409C-BE32-E72D297353CC}">
              <c16:uniqueId val="{00000001-89F5-4498-A0D6-FA2082E32687}"/>
            </c:ext>
          </c:extLst>
        </c:ser>
        <c:dLbls>
          <c:showLegendKey val="0"/>
          <c:showVal val="0"/>
          <c:showCatName val="0"/>
          <c:showSerName val="0"/>
          <c:showPercent val="0"/>
          <c:showBubbleSize val="0"/>
        </c:dLbls>
        <c:gapWidth val="150"/>
        <c:overlap val="100"/>
        <c:axId val="1508605856"/>
        <c:axId val="1343310096"/>
      </c:barChart>
      <c:catAx>
        <c:axId val="150860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310096"/>
        <c:crosses val="autoZero"/>
        <c:auto val="1"/>
        <c:lblAlgn val="ctr"/>
        <c:lblOffset val="100"/>
        <c:noMultiLvlLbl val="0"/>
      </c:catAx>
      <c:valAx>
        <c:axId val="134331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60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-3.xlsx]ANY TRANSPLANT!PivotTable38</c:name>
    <c:fmtId val="0"/>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'ANY TRANSPLANT'!$B$3:$B$4</c:f>
              <c:strCache>
                <c:ptCount val="1"/>
                <c:pt idx="0">
                  <c:v>No</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'ANY TRANSPLANT'!$A$5:$A$7</c:f>
              <c:strCache>
                <c:ptCount val="2"/>
                <c:pt idx="0">
                  <c:v>No</c:v>
                </c:pt>
                <c:pt idx="1">
                  <c:v>yes</c:v>
                </c:pt>
              </c:strCache>
            </c:strRef>
          </c:cat>
          <c:val>
            <c:numRef>
              <c:f>'ANY TRANSPLANT'!$B$5:$B$7</c:f>
              <c:numCache>
                <c:formatCode>General</c:formatCode>
                <c:ptCount val="2"/>
                <c:pt idx="0">
                  <c:v>395</c:v>
                </c:pt>
                <c:pt idx="1">
                  <c:v>19</c:v>
                </c:pt>
              </c:numCache>
            </c:numRef>
          </c:val>
          <c:extLst>
            <c:ext xmlns:c16="http://schemas.microsoft.com/office/drawing/2014/chart" uri="{C3380CC4-5D6E-409C-BE32-E72D297353CC}">
              <c16:uniqueId val="{00000000-5F0B-4869-AFE8-6CA98CA880F6}"/>
            </c:ext>
          </c:extLst>
        </c:ser>
        <c:ser>
          <c:idx val="1"/>
          <c:order val="1"/>
          <c:tx>
            <c:strRef>
              <c:f>'ANY TRANSPLANT'!$C$3:$C$4</c:f>
              <c:strCache>
                <c:ptCount val="1"/>
                <c:pt idx="0">
                  <c:v>yes</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'ANY TRANSPLANT'!$A$5:$A$7</c:f>
              <c:strCache>
                <c:ptCount val="2"/>
                <c:pt idx="0">
                  <c:v>No</c:v>
                </c:pt>
                <c:pt idx="1">
                  <c:v>yes</c:v>
                </c:pt>
              </c:strCache>
            </c:strRef>
          </c:cat>
          <c:val>
            <c:numRef>
              <c:f>'ANY TRANSPLANT'!$C$5:$C$7</c:f>
              <c:numCache>
                <c:formatCode>General</c:formatCode>
                <c:ptCount val="2"/>
                <c:pt idx="0">
                  <c:v>284</c:v>
                </c:pt>
                <c:pt idx="1">
                  <c:v>5</c:v>
                </c:pt>
              </c:numCache>
            </c:numRef>
          </c:val>
          <c:extLst>
            <c:ext xmlns:c16="http://schemas.microsoft.com/office/drawing/2014/chart" uri="{C3380CC4-5D6E-409C-BE32-E72D297353CC}">
              <c16:uniqueId val="{00000001-5F0B-4869-AFE8-6CA98CA880F6}"/>
            </c:ext>
          </c:extLst>
        </c:ser>
        <c:dLbls>
          <c:showLegendKey val="0"/>
          <c:showVal val="1"/>
          <c:showCatName val="0"/>
          <c:showSerName val="0"/>
          <c:showPercent val="0"/>
          <c:showBubbleSize val="0"/>
        </c:dLbls>
        <c:gapWidth val="84"/>
        <c:gapDepth val="53"/>
        <c:shape val="box"/>
        <c:axId val="1104143392"/>
        <c:axId val="1343258256"/>
        <c:axId val="0"/>
      </c:bar3DChart>
      <c:catAx>
        <c:axId val="1104143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3258256"/>
        <c:crosses val="autoZero"/>
        <c:auto val="1"/>
        <c:lblAlgn val="ctr"/>
        <c:lblOffset val="100"/>
        <c:noMultiLvlLbl val="0"/>
      </c:catAx>
      <c:valAx>
        <c:axId val="1343258256"/>
        <c:scaling>
          <c:orientation val="minMax"/>
        </c:scaling>
        <c:delete val="1"/>
        <c:axPos val="l"/>
        <c:numFmt formatCode="General" sourceLinked="1"/>
        <c:majorTickMark val="out"/>
        <c:minorTickMark val="none"/>
        <c:tickLblPos val="nextTo"/>
        <c:crossAx val="110414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-3.xlsx]HEART ISSUE WEIGHT BY DIABETICS!PivotTable39</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'HEART ISSUE WEIGHT BY DIABETICS'!$B$3:$B$4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'HEART ISSUE WEIGHT BY DIABETICS'!$A$5:$A$9</c:f>
              <c:strCache>
                <c:ptCount val="4"/>
                <c:pt idx="0">
                  <c:v>Normal Weight</c:v>
                </c:pt>
                <c:pt idx="1">
                  <c:v>Obesity</c:v>
                </c:pt>
                <c:pt idx="2">
                  <c:v>Over Weight</c:v>
                </c:pt>
                <c:pt idx="3">
                  <c:v>Underweight</c:v>
                </c:pt>
              </c:strCache>
            </c:strRef>
          </c:cat>
          <c:val>
            <c:numRef>
              <c:f>'HEART ISSUE WEIGHT BY DIABETICS'!$B$5:$B$9</c:f>
              <c:numCache>
                <c:formatCode>General</c:formatCode>
                <c:ptCount val="4"/>
                <c:pt idx="0">
                  <c:v>13</c:v>
                </c:pt>
                <c:pt idx="1">
                  <c:v>82</c:v>
                </c:pt>
                <c:pt idx="2">
                  <c:v>21</c:v>
                </c:pt>
                <c:pt idx="3">
                  <c:v>2</c:v>
                </c:pt>
              </c:numCache>
            </c:numRef>
          </c:val>
          <c:extLst>
            <c:ext xmlns:c16="http://schemas.microsoft.com/office/drawing/2014/chart" uri="{C3380CC4-5D6E-409C-BE32-E72D297353CC}">
              <c16:uniqueId val="{00000000-BAD4-47D9-B53B-652CCFDA7A5E}"/>
            </c:ext>
          </c:extLst>
        </c:ser>
        <c:ser>
          <c:idx val="1"/>
          <c:order val="1"/>
          <c:tx>
            <c:strRef>
              <c:f>'HEART ISSUE WEIGHT BY DIABETICS'!$C$3:$C$4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'HEART ISSUE WEIGHT BY DIABETICS'!$A$5:$A$9</c:f>
              <c:strCache>
                <c:ptCount val="4"/>
                <c:pt idx="0">
                  <c:v>Normal Weight</c:v>
                </c:pt>
                <c:pt idx="1">
                  <c:v>Obesity</c:v>
                </c:pt>
                <c:pt idx="2">
                  <c:v>Over Weight</c:v>
                </c:pt>
                <c:pt idx="3">
                  <c:v>Underweight</c:v>
                </c:pt>
              </c:strCache>
            </c:strRef>
          </c:cat>
          <c:val>
            <c:numRef>
              <c:f>'HEART ISSUE WEIGHT BY DIABETICS'!$C$5:$C$9</c:f>
              <c:numCache>
                <c:formatCode>General</c:formatCode>
                <c:ptCount val="4"/>
                <c:pt idx="0">
                  <c:v>15</c:v>
                </c:pt>
                <c:pt idx="1">
                  <c:v>84</c:v>
                </c:pt>
                <c:pt idx="2">
                  <c:v>17</c:v>
                </c:pt>
                <c:pt idx="3">
                  <c:v>12</c:v>
                </c:pt>
              </c:numCache>
            </c:numRef>
          </c:val>
          <c:extLst>
            <c:ext xmlns:c16="http://schemas.microsoft.com/office/drawing/2014/chart" uri="{C3380CC4-5D6E-409C-BE32-E72D297353CC}">
              <c16:uniqueId val="{00000001-BAD4-47D9-B53B-652CCFDA7A5E}"/>
            </c:ext>
          </c:extLst>
        </c:ser>
        <c:ser>
          <c:idx val="2"/>
          <c:order val="2"/>
          <c:tx>
            <c:strRef>
              <c:f>'HEART ISSUE WEIGHT BY DIABETICS'!$D$3:$D$4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'HEART ISSUE WEIGHT BY DIABETICS'!$A$5:$A$9</c:f>
              <c:strCache>
                <c:ptCount val="4"/>
                <c:pt idx="0">
                  <c:v>Normal Weight</c:v>
                </c:pt>
                <c:pt idx="1">
                  <c:v>Obesity</c:v>
                </c:pt>
                <c:pt idx="2">
                  <c:v>Over Weight</c:v>
                </c:pt>
                <c:pt idx="3">
                  <c:v>Underweight</c:v>
                </c:pt>
              </c:strCache>
            </c:strRef>
          </c:cat>
          <c:val>
            <c:numRef>
              <c:f>'HEART ISSUE WEIGHT BY DIABETICS'!$D$5:$D$9</c:f>
              <c:numCache>
                <c:formatCode>General</c:formatCode>
                <c:ptCount val="4"/>
                <c:pt idx="0">
                  <c:v>7</c:v>
                </c:pt>
                <c:pt idx="1">
                  <c:v>26</c:v>
                </c:pt>
                <c:pt idx="2">
                  <c:v>9</c:v>
                </c:pt>
                <c:pt idx="3">
                  <c:v>1</c:v>
                </c:pt>
              </c:numCache>
            </c:numRef>
          </c:val>
          <c:extLst>
            <c:ext xmlns:c16="http://schemas.microsoft.com/office/drawing/2014/chart" uri="{C3380CC4-5D6E-409C-BE32-E72D297353CC}">
              <c16:uniqueId val="{00000002-BAD4-47D9-B53B-652CCFDA7A5E}"/>
            </c:ext>
          </c:extLst>
        </c:ser>
        <c:dLbls>
          <c:showLegendKey val="0"/>
          <c:showVal val="0"/>
          <c:showCatName val="0"/>
          <c:showSerName val="0"/>
          <c:showPercent val="0"/>
          <c:showBubbleSize val="0"/>
        </c:dLbls>
        <c:axId val="1101578176"/>
        <c:axId val="1343361456"/>
        <c:axId val="1452014224"/>
      </c:area3DChart>
      <c:catAx>
        <c:axId val="110157817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361456"/>
        <c:crosses val="autoZero"/>
        <c:auto val="1"/>
        <c:lblAlgn val="ctr"/>
        <c:lblOffset val="100"/>
        <c:noMultiLvlLbl val="0"/>
      </c:catAx>
      <c:valAx>
        <c:axId val="13433614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578176"/>
        <c:crosses val="autoZero"/>
        <c:crossBetween val="midCat"/>
      </c:valAx>
      <c:serAx>
        <c:axId val="145201422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3614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[ASSIANGMENT -3.xlsx]Corellation!PivotTable33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Corellation!$B$11:$B$13</c:f>
              <c:strCache>
                <c:ptCount val="1"/>
                <c:pt idx="0">
                  <c:v>0.0481592523963453 - 1</c:v>
                </c:pt>
              </c:strCache>
            </c:strRef>
          </c:tx>
          <c:spPr>
            <a:ln w="28575" cap="rnd">
              <a:solidFill>
                <a:schemeClr val="accent1"/>
              </a:solidFill>
              <a:round/>
            </a:ln>
            <a:effectLst/>
          </c:spPr>
          <c:marker>
            <c:symbol val="none"/>
          </c:marker>
          <c:cat>
            <c:strRef>
              <c:f>Corellation!$A$14:$A$17</c:f>
              <c:strCache>
                <c:ptCount val="3"/>
                <c:pt idx="0">
                  <c:v>0.100084332545376</c:v>
                </c:pt>
                <c:pt idx="1">
                  <c:v>0.142678340357298</c:v>
                </c:pt>
                <c:pt idx="2">
                  <c:v>1</c:v>
                </c:pt>
              </c:strCache>
            </c:strRef>
          </c:cat>
          <c:val>
            <c:numRef>
              <c:f>Corellation!$B$14:$B$17</c:f>
              <c:numCache>
                <c:formatCode>General</c:formatCode>
                <c:ptCount val="3"/>
                <c:pt idx="1">
                  <c:v>4.5492621774082823E-2</c:v>
                </c:pt>
              </c:numCache>
            </c:numRef>
          </c:val>
          <c:smooth val="0"/>
          <c:extLst>
            <c:ext xmlns:c16="http://schemas.microsoft.com/office/drawing/2014/chart" uri="{C3380CC4-5D6E-409C-BE32-E72D297353CC}">
              <c16:uniqueId val="{00000007-F7A6-4137-B134-9C8614573446}"/>
            </c:ext>
          </c:extLst>
        </c:ser>
        <c:ser>
          <c:idx val="1"/>
          <c:order val="1"/>
          <c:tx>
            <c:strRef>
              <c:f>Corellation!$D$11:$D$13</c:f>
              <c:strCache>
                <c:ptCount val="1"/>
                <c:pt idx="0">
                  <c:v>0.100084332545376 - 0.142678340357298</c:v>
                </c:pt>
              </c:strCache>
            </c:strRef>
          </c:tx>
          <c:spPr>
            <a:ln w="28575" cap="rnd">
              <a:solidFill>
                <a:schemeClr val="accent2"/>
              </a:solidFill>
              <a:round/>
            </a:ln>
            <a:effectLst/>
          </c:spPr>
          <c:marker>
            <c:symbol val="none"/>
          </c:marker>
          <c:cat>
            <c:strRef>
              <c:f>Corellation!$A$14:$A$17</c:f>
              <c:strCache>
                <c:ptCount val="3"/>
                <c:pt idx="0">
                  <c:v>0.100084332545376</c:v>
                </c:pt>
                <c:pt idx="1">
                  <c:v>0.142678340357298</c:v>
                </c:pt>
                <c:pt idx="2">
                  <c:v>1</c:v>
                </c:pt>
              </c:strCache>
            </c:strRef>
          </c:cat>
          <c:val>
            <c:numRef>
              <c:f>Corellation!$D$14:$D$17</c:f>
              <c:numCache>
                <c:formatCode>General</c:formatCode>
                <c:ptCount val="3"/>
                <c:pt idx="2">
                  <c:v>4.6587711476702515E-2</c:v>
                </c:pt>
              </c:numCache>
            </c:numRef>
          </c:val>
          <c:smooth val="0"/>
          <c:extLst>
            <c:ext xmlns:c16="http://schemas.microsoft.com/office/drawing/2014/chart" uri="{C3380CC4-5D6E-409C-BE32-E72D297353CC}">
              <c16:uniqueId val="{00000008-F7A6-4137-B134-9C8614573446}"/>
            </c:ext>
          </c:extLst>
        </c:ser>
        <c:ser>
          <c:idx val="2"/>
          <c:order val="2"/>
          <c:tx>
            <c:strRef>
              <c:f>Corellation!$F$11:$F$13</c:f>
              <c:strCache>
                <c:ptCount val="1"/>
                <c:pt idx="0">
                  <c:v>1 - 0.0481592523963453</c:v>
                </c:pt>
              </c:strCache>
            </c:strRef>
          </c:tx>
          <c:spPr>
            <a:ln w="28575" cap="rnd">
              <a:solidFill>
                <a:schemeClr val="accent3"/>
              </a:solidFill>
              <a:round/>
            </a:ln>
            <a:effectLst/>
          </c:spPr>
          <c:marker>
            <c:symbol val="none"/>
          </c:marker>
          <c:cat>
            <c:strRef>
              <c:f>Corellation!$A$14:$A$17</c:f>
              <c:strCache>
                <c:ptCount val="3"/>
                <c:pt idx="0">
                  <c:v>0.100084332545376</c:v>
                </c:pt>
                <c:pt idx="1">
                  <c:v>0.142678340357298</c:v>
                </c:pt>
                <c:pt idx="2">
                  <c:v>1</c:v>
                </c:pt>
              </c:strCache>
            </c:strRef>
          </c:cat>
          <c:val>
            <c:numRef>
              <c:f>Corellation!$F$14:$F$17</c:f>
              <c:numCache>
                <c:formatCode>General</c:formatCode>
                <c:ptCount val="3"/>
                <c:pt idx="0">
                  <c:v>0.14922705798790187</c:v>
                </c:pt>
              </c:numCache>
            </c:numRef>
          </c:val>
          <c:smooth val="0"/>
          <c:extLst>
            <c:ext xmlns:c16="http://schemas.microsoft.com/office/drawing/2014/chart" uri="{C3380CC4-5D6E-409C-BE32-E72D297353CC}">
              <c16:uniqueId val="{00000009-F7A6-4137-B134-9C8614573446}"/>
            </c:ext>
          </c:extLst>
        </c:ser>
        <c:dLbls>
          <c:showLegendKey val="0"/>
          <c:showVal val="0"/>
          <c:showCatName val="0"/>
          <c:showSerName val="0"/>
          <c:showPercent val="0"/>
          <c:showBubbleSize val="0"/>
        </c:dLbls>
        <c:smooth val="0"/>
        <c:axId val="1450474112"/>
        <c:axId val="1343267856"/>
      </c:lineChart>
      <c:catAx>
        <c:axId val="145047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267856"/>
        <c:crosses val="autoZero"/>
        <c:auto val="1"/>
        <c:lblAlgn val="ctr"/>
        <c:lblOffset val="100"/>
        <c:noMultiLvlLbl val="0"/>
      </c:catAx>
      <c:valAx>
        <c:axId val="134326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47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15240</xdr:rowOff>
    </xdr:from>
    <xdr:to>
      <xdr:col>22</xdr:col>
      <xdr:colOff>586740</xdr:colOff>
      <xdr:row>4</xdr:row>
      <xdr:rowOff>7620</xdr:rowOff>
    </xdr:to>
    <xdr:sp macro="" textlink="">
      <xdr:nvSpPr>
        <xdr:cNvPr id="9" name="Rectangle: Rounded Corners 8">
          <a:extLst>
            <a:ext uri="{FF2B5EF4-FFF2-40B4-BE49-F238E27FC236}">
              <a16:creationId xmlns:a16="http://schemas.microsoft.com/office/drawing/2014/main" id="{8AF80F40-090F-570E-8E5A-EAA039116CBB}"/>
            </a:ext>
          </a:extLst>
        </xdr:cNvPr>
        <xdr:cNvSpPr/>
      </xdr:nvSpPr>
      <xdr:spPr>
        <a:xfrm>
          <a:off x="22860" y="15240"/>
          <a:ext cx="13975080" cy="7239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u="sng">
              <a:solidFill>
                <a:srgbClr val="FF0000"/>
              </a:solidFill>
            </a:rPr>
            <a:t>HEALTH CARE DASHBOARD</a:t>
          </a:r>
        </a:p>
      </xdr:txBody>
    </xdr:sp>
    <xdr:clientData/>
  </xdr:twoCellAnchor>
  <xdr:twoCellAnchor editAs="oneCell">
    <xdr:from>
      <xdr:col>3</xdr:col>
      <xdr:colOff>137160</xdr:colOff>
      <xdr:row>4</xdr:row>
      <xdr:rowOff>1</xdr:rowOff>
    </xdr:from>
    <xdr:to>
      <xdr:col>6</xdr:col>
      <xdr:colOff>137160</xdr:colOff>
      <xdr:row>11</xdr:row>
      <xdr:rowOff>144780</xdr:rowOff>
    </xdr:to>
    <mc:AlternateContent xmlns:mc="http://schemas.openxmlformats.org/markup-compatibility/2006">
      <mc:Choice xmlns:a14="http://schemas.microsoft.com/office/drawing/2010/main" Requires="a14">
        <xdr:graphicFrame macro="">
          <xdr:nvGraphicFramePr>
            <xdr:cNvPr id="11" name="WEIGHT STATUS 1">
              <a:extLst>
                <a:ext uri="{FF2B5EF4-FFF2-40B4-BE49-F238E27FC236}">
                  <a16:creationId xmlns:a16="http://schemas.microsoft.com/office/drawing/2014/main" id="{A19147A2-18D4-4E99-9898-7C92EFA92D54}"/>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965960" y="731521"/>
              <a:ext cx="182880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304800</xdr:colOff>
      <xdr:row>11</xdr:row>
      <xdr:rowOff>152400</xdr:rowOff>
    </xdr:from>
    <xdr:to>
      <xdr:col>6</xdr:col>
      <xdr:colOff>579120</xdr:colOff>
      <xdr:row>21</xdr:row>
      <xdr:rowOff>38100</xdr:rowOff>
    </xdr:to>
    <xdr:graphicFrame macro="">
      <xdr:nvGraphicFramePr>
        <xdr:cNvPr id="13" name="Chart 12">
          <a:extLst>
            <a:ext uri="{FF2B5EF4-FFF2-40B4-BE49-F238E27FC236}">
              <a16:creationId xmlns:a16="http://schemas.microsoft.com/office/drawing/2014/main" id="{AC9D071C-17B3-4CBB-B7EC-D674D1A2E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586740</xdr:colOff>
      <xdr:row>4</xdr:row>
      <xdr:rowOff>1</xdr:rowOff>
    </xdr:from>
    <xdr:to>
      <xdr:col>17</xdr:col>
      <xdr:colOff>586740</xdr:colOff>
      <xdr:row>11</xdr:row>
      <xdr:rowOff>68581</xdr:rowOff>
    </xdr:to>
    <mc:AlternateContent xmlns:mc="http://schemas.openxmlformats.org/markup-compatibility/2006">
      <mc:Choice xmlns:a14="http://schemas.microsoft.com/office/drawing/2010/main" Requires="a14">
        <xdr:graphicFrame macro="">
          <xdr:nvGraphicFramePr>
            <xdr:cNvPr id="15" name="DIABETES STATUS 2">
              <a:extLst>
                <a:ext uri="{FF2B5EF4-FFF2-40B4-BE49-F238E27FC236}">
                  <a16:creationId xmlns:a16="http://schemas.microsoft.com/office/drawing/2014/main" id="{E120DC14-8352-4145-8187-EBFF1ED985FB}"/>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dr:sp macro="" textlink="">
          <xdr:nvSpPr>
            <xdr:cNvPr id="0" name=""/>
            <xdr:cNvSpPr>
              <a:spLocks noTextEdit="1"/>
            </xdr:cNvSpPr>
          </xdr:nvSpPr>
          <xdr:spPr>
            <a:xfrm>
              <a:off x="9121140" y="73152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601980</xdr:colOff>
      <xdr:row>11</xdr:row>
      <xdr:rowOff>68580</xdr:rowOff>
    </xdr:from>
    <xdr:to>
      <xdr:col>18</xdr:col>
      <xdr:colOff>586740</xdr:colOff>
      <xdr:row>20</xdr:row>
      <xdr:rowOff>144780</xdr:rowOff>
    </xdr:to>
    <xdr:graphicFrame macro="">
      <xdr:nvGraphicFramePr>
        <xdr:cNvPr id="17" name="Chart 16">
          <a:extLst>
            <a:ext uri="{FF2B5EF4-FFF2-40B4-BE49-F238E27FC236}">
              <a16:creationId xmlns:a16="http://schemas.microsoft.com/office/drawing/2014/main" id="{1CA6F65E-9062-4DF7-906B-B974D5A7F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22860</xdr:colOff>
      <xdr:row>4</xdr:row>
      <xdr:rowOff>7621</xdr:rowOff>
    </xdr:from>
    <xdr:to>
      <xdr:col>12</xdr:col>
      <xdr:colOff>22860</xdr:colOff>
      <xdr:row>11</xdr:row>
      <xdr:rowOff>53341</xdr:rowOff>
    </xdr:to>
    <mc:AlternateContent xmlns:mc="http://schemas.openxmlformats.org/markup-compatibility/2006">
      <mc:Choice xmlns:a14="http://schemas.microsoft.com/office/drawing/2010/main" Requires="a14">
        <xdr:graphicFrame macro="">
          <xdr:nvGraphicFramePr>
            <xdr:cNvPr id="20" name="HEART ISSUES 1">
              <a:extLst>
                <a:ext uri="{FF2B5EF4-FFF2-40B4-BE49-F238E27FC236}">
                  <a16:creationId xmlns:a16="http://schemas.microsoft.com/office/drawing/2014/main" id="{C6F1834C-B300-4C82-A789-0571CD53609B}"/>
                </a:ext>
              </a:extLst>
            </xdr:cNvPr>
            <xdr:cNvGraphicFramePr/>
          </xdr:nvGraphicFramePr>
          <xdr:xfrm>
            <a:off x="0" y="0"/>
            <a:ext cx="0" cy="0"/>
          </xdr:xfrm>
          <a:graphic>
            <a:graphicData uri="http://schemas.microsoft.com/office/drawing/2010/slicer">
              <sle:slicer xmlns:sle="http://schemas.microsoft.com/office/drawing/2010/slicer" name="HEART ISSUES 1"/>
            </a:graphicData>
          </a:graphic>
        </xdr:graphicFrame>
      </mc:Choice>
      <mc:Fallback>
        <xdr:sp macro="" textlink="">
          <xdr:nvSpPr>
            <xdr:cNvPr id="0" name=""/>
            <xdr:cNvSpPr>
              <a:spLocks noTextEdit="1"/>
            </xdr:cNvSpPr>
          </xdr:nvSpPr>
          <xdr:spPr>
            <a:xfrm>
              <a:off x="5509260" y="73914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556260</xdr:colOff>
      <xdr:row>11</xdr:row>
      <xdr:rowOff>60960</xdr:rowOff>
    </xdr:from>
    <xdr:to>
      <xdr:col>12</xdr:col>
      <xdr:colOff>525780</xdr:colOff>
      <xdr:row>21</xdr:row>
      <xdr:rowOff>22860</xdr:rowOff>
    </xdr:to>
    <xdr:graphicFrame macro="">
      <xdr:nvGraphicFramePr>
        <xdr:cNvPr id="22" name="Chart 21">
          <a:extLst>
            <a:ext uri="{FF2B5EF4-FFF2-40B4-BE49-F238E27FC236}">
              <a16:creationId xmlns:a16="http://schemas.microsoft.com/office/drawing/2014/main" id="{43B9ECE4-0FD0-4FD3-896D-C7BD6A4E4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21</xdr:row>
      <xdr:rowOff>121920</xdr:rowOff>
    </xdr:from>
    <xdr:to>
      <xdr:col>9</xdr:col>
      <xdr:colOff>68580</xdr:colOff>
      <xdr:row>24</xdr:row>
      <xdr:rowOff>137160</xdr:rowOff>
    </xdr:to>
    <xdr:sp macro="" textlink="">
      <xdr:nvSpPr>
        <xdr:cNvPr id="23" name="Rectangle: Rounded Corners 22">
          <a:extLst>
            <a:ext uri="{FF2B5EF4-FFF2-40B4-BE49-F238E27FC236}">
              <a16:creationId xmlns:a16="http://schemas.microsoft.com/office/drawing/2014/main" id="{B89E980C-7FAD-2704-5F91-FD4A57CDD512}"/>
            </a:ext>
          </a:extLst>
        </xdr:cNvPr>
        <xdr:cNvSpPr/>
      </xdr:nvSpPr>
      <xdr:spPr>
        <a:xfrm>
          <a:off x="2819400" y="3962400"/>
          <a:ext cx="2735580" cy="56388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472440</xdr:colOff>
      <xdr:row>21</xdr:row>
      <xdr:rowOff>144780</xdr:rowOff>
    </xdr:from>
    <xdr:to>
      <xdr:col>17</xdr:col>
      <xdr:colOff>487680</xdr:colOff>
      <xdr:row>24</xdr:row>
      <xdr:rowOff>137160</xdr:rowOff>
    </xdr:to>
    <xdr:sp macro="" textlink="">
      <xdr:nvSpPr>
        <xdr:cNvPr id="24" name="Rectangle: Rounded Corners 23">
          <a:extLst>
            <a:ext uri="{FF2B5EF4-FFF2-40B4-BE49-F238E27FC236}">
              <a16:creationId xmlns:a16="http://schemas.microsoft.com/office/drawing/2014/main" id="{C48F5975-70D5-4B85-A798-28574CBA0242}"/>
            </a:ext>
          </a:extLst>
        </xdr:cNvPr>
        <xdr:cNvSpPr/>
      </xdr:nvSpPr>
      <xdr:spPr>
        <a:xfrm>
          <a:off x="7787640" y="3985260"/>
          <a:ext cx="3063240" cy="54102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4</xdr:col>
      <xdr:colOff>480060</xdr:colOff>
      <xdr:row>22</xdr:row>
      <xdr:rowOff>68580</xdr:rowOff>
    </xdr:from>
    <xdr:to>
      <xdr:col>8</xdr:col>
      <xdr:colOff>510540</xdr:colOff>
      <xdr:row>24</xdr:row>
      <xdr:rowOff>7620</xdr:rowOff>
    </xdr:to>
    <xdr:sp macro="" textlink="">
      <xdr:nvSpPr>
        <xdr:cNvPr id="28" name="TextBox 27">
          <a:extLst>
            <a:ext uri="{FF2B5EF4-FFF2-40B4-BE49-F238E27FC236}">
              <a16:creationId xmlns:a16="http://schemas.microsoft.com/office/drawing/2014/main" id="{0D3781EB-B2BA-792B-4850-0B6C5D144038}"/>
            </a:ext>
          </a:extLst>
        </xdr:cNvPr>
        <xdr:cNvSpPr txBox="1"/>
      </xdr:nvSpPr>
      <xdr:spPr>
        <a:xfrm>
          <a:off x="2918460" y="4091940"/>
          <a:ext cx="2468880" cy="304800"/>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PATIENT</a:t>
          </a:r>
          <a:r>
            <a:rPr lang="en-IN" sz="1100" baseline="0"/>
            <a:t> COUNT= 703</a:t>
          </a:r>
          <a:r>
            <a:rPr lang="en-IN">
              <a:effectLst/>
            </a:rPr>
            <a:t> </a:t>
          </a:r>
          <a:endParaRPr lang="en-IN" sz="1100"/>
        </a:p>
      </xdr:txBody>
    </xdr:sp>
    <xdr:clientData/>
  </xdr:twoCellAnchor>
  <xdr:twoCellAnchor editAs="oneCell">
    <xdr:from>
      <xdr:col>13</xdr:col>
      <xdr:colOff>381000</xdr:colOff>
      <xdr:row>22</xdr:row>
      <xdr:rowOff>68580</xdr:rowOff>
    </xdr:from>
    <xdr:to>
      <xdr:col>17</xdr:col>
      <xdr:colOff>45902</xdr:colOff>
      <xdr:row>24</xdr:row>
      <xdr:rowOff>1550</xdr:rowOff>
    </xdr:to>
    <xdr:pic>
      <xdr:nvPicPr>
        <xdr:cNvPr id="32" name="Picture 31">
          <a:extLst>
            <a:ext uri="{FF2B5EF4-FFF2-40B4-BE49-F238E27FC236}">
              <a16:creationId xmlns:a16="http://schemas.microsoft.com/office/drawing/2014/main" id="{E0FA32F5-2AB1-957B-BA4D-928C1F4240D4}"/>
            </a:ext>
          </a:extLst>
        </xdr:cNvPr>
        <xdr:cNvPicPr>
          <a:picLocks noChangeAspect="1"/>
        </xdr:cNvPicPr>
      </xdr:nvPicPr>
      <xdr:blipFill>
        <a:blip xmlns:r="http://schemas.openxmlformats.org/officeDocument/2006/relationships" r:embed="rId4"/>
        <a:stretch>
          <a:fillRect/>
        </a:stretch>
      </xdr:blipFill>
      <xdr:spPr>
        <a:xfrm>
          <a:off x="8305800" y="4091940"/>
          <a:ext cx="2103302" cy="2987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2</xdr:row>
      <xdr:rowOff>3810</xdr:rowOff>
    </xdr:from>
    <xdr:to>
      <xdr:col>11</xdr:col>
      <xdr:colOff>312420</xdr:colOff>
      <xdr:row>17</xdr:row>
      <xdr:rowOff>3810</xdr:rowOff>
    </xdr:to>
    <xdr:graphicFrame macro="">
      <xdr:nvGraphicFramePr>
        <xdr:cNvPr id="2" name="Chart 1">
          <a:extLst>
            <a:ext uri="{FF2B5EF4-FFF2-40B4-BE49-F238E27FC236}">
              <a16:creationId xmlns:a16="http://schemas.microsoft.com/office/drawing/2014/main" id="{E1582B5A-789D-A4E2-2DEE-42E7A0508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3810</xdr:rowOff>
    </xdr:from>
    <xdr:to>
      <xdr:col>10</xdr:col>
      <xdr:colOff>304800</xdr:colOff>
      <xdr:row>17</xdr:row>
      <xdr:rowOff>3810</xdr:rowOff>
    </xdr:to>
    <xdr:graphicFrame macro="">
      <xdr:nvGraphicFramePr>
        <xdr:cNvPr id="2" name="Chart 1">
          <a:extLst>
            <a:ext uri="{FF2B5EF4-FFF2-40B4-BE49-F238E27FC236}">
              <a16:creationId xmlns:a16="http://schemas.microsoft.com/office/drawing/2014/main" id="{FD48FE14-F0C2-3F9A-854C-82EAD60AC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2</xdr:row>
      <xdr:rowOff>3810</xdr:rowOff>
    </xdr:from>
    <xdr:to>
      <xdr:col>12</xdr:col>
      <xdr:colOff>304800</xdr:colOff>
      <xdr:row>17</xdr:row>
      <xdr:rowOff>3810</xdr:rowOff>
    </xdr:to>
    <xdr:graphicFrame macro="">
      <xdr:nvGraphicFramePr>
        <xdr:cNvPr id="2" name="Chart 1">
          <a:extLst>
            <a:ext uri="{FF2B5EF4-FFF2-40B4-BE49-F238E27FC236}">
              <a16:creationId xmlns:a16="http://schemas.microsoft.com/office/drawing/2014/main" id="{2BF42581-9D63-87E7-B359-9F83D8F0C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15240</xdr:colOff>
      <xdr:row>1</xdr:row>
      <xdr:rowOff>179070</xdr:rowOff>
    </xdr:from>
    <xdr:to>
      <xdr:col>13</xdr:col>
      <xdr:colOff>68580</xdr:colOff>
      <xdr:row>16</xdr:row>
      <xdr:rowOff>179070</xdr:rowOff>
    </xdr:to>
    <xdr:graphicFrame macro="">
      <xdr:nvGraphicFramePr>
        <xdr:cNvPr id="2" name="Chart 1">
          <a:extLst>
            <a:ext uri="{FF2B5EF4-FFF2-40B4-BE49-F238E27FC236}">
              <a16:creationId xmlns:a16="http://schemas.microsoft.com/office/drawing/2014/main" id="{77657C99-015B-E957-863D-58BD36EF7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xdr:row>
      <xdr:rowOff>171450</xdr:rowOff>
    </xdr:from>
    <xdr:to>
      <xdr:col>9</xdr:col>
      <xdr:colOff>304800</xdr:colOff>
      <xdr:row>16</xdr:row>
      <xdr:rowOff>171450</xdr:rowOff>
    </xdr:to>
    <xdr:graphicFrame macro="">
      <xdr:nvGraphicFramePr>
        <xdr:cNvPr id="2" name="Chart 1">
          <a:extLst>
            <a:ext uri="{FF2B5EF4-FFF2-40B4-BE49-F238E27FC236}">
              <a16:creationId xmlns:a16="http://schemas.microsoft.com/office/drawing/2014/main" id="{E8B26F56-045C-99C9-3D83-518B79491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3810</xdr:rowOff>
    </xdr:from>
    <xdr:to>
      <xdr:col>9</xdr:col>
      <xdr:colOff>304800</xdr:colOff>
      <xdr:row>17</xdr:row>
      <xdr:rowOff>3810</xdr:rowOff>
    </xdr:to>
    <xdr:graphicFrame macro="">
      <xdr:nvGraphicFramePr>
        <xdr:cNvPr id="2" name="Chart 1">
          <a:extLst>
            <a:ext uri="{FF2B5EF4-FFF2-40B4-BE49-F238E27FC236}">
              <a16:creationId xmlns:a16="http://schemas.microsoft.com/office/drawing/2014/main" id="{4D39B015-A627-B544-4D7C-417EFF434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601980</xdr:colOff>
      <xdr:row>2</xdr:row>
      <xdr:rowOff>7620</xdr:rowOff>
    </xdr:from>
    <xdr:to>
      <xdr:col>12</xdr:col>
      <xdr:colOff>601980</xdr:colOff>
      <xdr:row>15</xdr:row>
      <xdr:rowOff>97155</xdr:rowOff>
    </xdr:to>
    <mc:AlternateContent xmlns:mc="http://schemas.openxmlformats.org/markup-compatibility/2006">
      <mc:Choice xmlns:a14="http://schemas.microsoft.com/office/drawing/2010/main" Requires="a14">
        <xdr:graphicFrame macro="">
          <xdr:nvGraphicFramePr>
            <xdr:cNvPr id="4" name="DIABETES STATUS 1">
              <a:extLst>
                <a:ext uri="{FF2B5EF4-FFF2-40B4-BE49-F238E27FC236}">
                  <a16:creationId xmlns:a16="http://schemas.microsoft.com/office/drawing/2014/main" id="{0BFC0E8B-9B83-F1B9-1B34-DBAD1F451675}"/>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690372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731520</xdr:colOff>
      <xdr:row>1</xdr:row>
      <xdr:rowOff>171450</xdr:rowOff>
    </xdr:from>
    <xdr:to>
      <xdr:col>11</xdr:col>
      <xdr:colOff>297180</xdr:colOff>
      <xdr:row>16</xdr:row>
      <xdr:rowOff>171450</xdr:rowOff>
    </xdr:to>
    <xdr:graphicFrame macro="">
      <xdr:nvGraphicFramePr>
        <xdr:cNvPr id="2" name="Chart 1">
          <a:extLst>
            <a:ext uri="{FF2B5EF4-FFF2-40B4-BE49-F238E27FC236}">
              <a16:creationId xmlns:a16="http://schemas.microsoft.com/office/drawing/2014/main" id="{00A15B0F-AB46-B347-B86D-2F7F5A1BF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7620</xdr:colOff>
      <xdr:row>1</xdr:row>
      <xdr:rowOff>171450</xdr:rowOff>
    </xdr:from>
    <xdr:to>
      <xdr:col>11</xdr:col>
      <xdr:colOff>312420</xdr:colOff>
      <xdr:row>16</xdr:row>
      <xdr:rowOff>171450</xdr:rowOff>
    </xdr:to>
    <xdr:graphicFrame macro="">
      <xdr:nvGraphicFramePr>
        <xdr:cNvPr id="2" name="Chart 1">
          <a:extLst>
            <a:ext uri="{FF2B5EF4-FFF2-40B4-BE49-F238E27FC236}">
              <a16:creationId xmlns:a16="http://schemas.microsoft.com/office/drawing/2014/main" id="{DB120B7E-CA43-0476-8C3C-3DE2F93A4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15240</xdr:colOff>
      <xdr:row>2</xdr:row>
      <xdr:rowOff>15240</xdr:rowOff>
    </xdr:from>
    <xdr:to>
      <xdr:col>15</xdr:col>
      <xdr:colOff>15240</xdr:colOff>
      <xdr:row>15</xdr:row>
      <xdr:rowOff>104775</xdr:rowOff>
    </xdr:to>
    <mc:AlternateContent xmlns:mc="http://schemas.openxmlformats.org/markup-compatibility/2006">
      <mc:Choice xmlns:a14="http://schemas.microsoft.com/office/drawing/2010/main" Requires="a14">
        <xdr:graphicFrame macro="">
          <xdr:nvGraphicFramePr>
            <xdr:cNvPr id="3" name="WEIGHT STATUS">
              <a:extLst>
                <a:ext uri="{FF2B5EF4-FFF2-40B4-BE49-F238E27FC236}">
                  <a16:creationId xmlns:a16="http://schemas.microsoft.com/office/drawing/2014/main" id="{D3AB3951-FC69-4181-F22F-AAB00CBF583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828294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xdr:row>
      <xdr:rowOff>179070</xdr:rowOff>
    </xdr:from>
    <xdr:to>
      <xdr:col>11</xdr:col>
      <xdr:colOff>304800</xdr:colOff>
      <xdr:row>16</xdr:row>
      <xdr:rowOff>179070</xdr:rowOff>
    </xdr:to>
    <xdr:graphicFrame macro="">
      <xdr:nvGraphicFramePr>
        <xdr:cNvPr id="2" name="Chart 1">
          <a:extLst>
            <a:ext uri="{FF2B5EF4-FFF2-40B4-BE49-F238E27FC236}">
              <a16:creationId xmlns:a16="http://schemas.microsoft.com/office/drawing/2014/main" id="{647E05A1-92E1-DC6D-072B-61C0D11FD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15240</xdr:colOff>
      <xdr:row>2</xdr:row>
      <xdr:rowOff>7620</xdr:rowOff>
    </xdr:from>
    <xdr:to>
      <xdr:col>12</xdr:col>
      <xdr:colOff>320040</xdr:colOff>
      <xdr:row>17</xdr:row>
      <xdr:rowOff>7620</xdr:rowOff>
    </xdr:to>
    <xdr:graphicFrame macro="">
      <xdr:nvGraphicFramePr>
        <xdr:cNvPr id="2" name="Chart 1">
          <a:extLst>
            <a:ext uri="{FF2B5EF4-FFF2-40B4-BE49-F238E27FC236}">
              <a16:creationId xmlns:a16="http://schemas.microsoft.com/office/drawing/2014/main" id="{8022D479-323B-982D-6F74-FFCFEFE67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320040</xdr:colOff>
      <xdr:row>2</xdr:row>
      <xdr:rowOff>7620</xdr:rowOff>
    </xdr:from>
    <xdr:to>
      <xdr:col>15</xdr:col>
      <xdr:colOff>320040</xdr:colOff>
      <xdr:row>15</xdr:row>
      <xdr:rowOff>97155</xdr:rowOff>
    </xdr:to>
    <mc:AlternateContent xmlns:mc="http://schemas.openxmlformats.org/markup-compatibility/2006">
      <mc:Choice xmlns:a14="http://schemas.microsoft.com/office/drawing/2010/main" Requires="a14">
        <xdr:graphicFrame macro="">
          <xdr:nvGraphicFramePr>
            <xdr:cNvPr id="3" name="HEART ISSUES">
              <a:extLst>
                <a:ext uri="{FF2B5EF4-FFF2-40B4-BE49-F238E27FC236}">
                  <a16:creationId xmlns:a16="http://schemas.microsoft.com/office/drawing/2014/main" id="{00BD3219-94B6-1829-B772-A1B1B87B032C}"/>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dr:sp macro="" textlink="">
          <xdr:nvSpPr>
            <xdr:cNvPr id="0" name=""/>
            <xdr:cNvSpPr>
              <a:spLocks noTextEdit="1"/>
            </xdr:cNvSpPr>
          </xdr:nvSpPr>
          <xdr:spPr>
            <a:xfrm>
              <a:off x="896112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xdr:col>
      <xdr:colOff>609600</xdr:colOff>
      <xdr:row>17</xdr:row>
      <xdr:rowOff>26670</xdr:rowOff>
    </xdr:from>
    <xdr:to>
      <xdr:col>7</xdr:col>
      <xdr:colOff>350520</xdr:colOff>
      <xdr:row>32</xdr:row>
      <xdr:rowOff>26670</xdr:rowOff>
    </xdr:to>
    <xdr:graphicFrame macro="">
      <xdr:nvGraphicFramePr>
        <xdr:cNvPr id="6" name="Chart 5">
          <a:extLst>
            <a:ext uri="{FF2B5EF4-FFF2-40B4-BE49-F238E27FC236}">
              <a16:creationId xmlns:a16="http://schemas.microsoft.com/office/drawing/2014/main" id="{99C64D39-D335-ACB8-9597-C81D8517C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zil" refreshedDate="46310.117829513889" createdVersion="8" refreshedVersion="8" minRefreshableVersion="3" recordCount="3" xr:uid="{BD46E146-2877-4F6E-BD9C-55C45680301A}">
  <cacheSource type="worksheet">
    <worksheetSource name="Table9"/>
  </cacheSource>
  <cacheFields count="5">
    <cacheField name="Column1" numFmtId="0">
      <sharedItems/>
    </cacheField>
    <cacheField name="AGE" numFmtId="0">
      <sharedItems containsSemiMixedTypes="0" containsString="0" containsNumber="1" minValue="0.10008433254537615" maxValue="1" count="3">
        <n v="1"/>
        <n v="0.10008433254537615"/>
        <n v="0.14267834035729798"/>
      </sharedItems>
    </cacheField>
    <cacheField name="BMI" numFmtId="0">
      <sharedItems containsSemiMixedTypes="0" containsString="0" containsNumber="1" minValue="4.8159252396345262E-2" maxValue="0.99999999999999989" count="3">
        <n v="0.10008433254537615"/>
        <n v="0.99999999999999989"/>
        <n v="4.8159252396345262E-2"/>
      </sharedItems>
    </cacheField>
    <cacheField name="HBA1C" numFmtId="0">
      <sharedItems containsSemiMixedTypes="0" containsString="0" containsNumber="1" minValue="4.8159252396345262E-2" maxValue="1.0000000000000002" count="3">
        <n v="0.14267834035729798"/>
        <n v="4.8159252396345262E-2"/>
        <n v="1.0000000000000002"/>
      </sharedItems>
    </cacheField>
    <cacheField name="CHARGES" numFmtId="0">
      <sharedItems containsSemiMixedTypes="0" containsString="0" containsNumber="1" minValue="4.5492621774082823E-2" maxValue="0.1492270579879018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zil" refreshedDate="46310.117830092589" createdVersion="8" refreshedVersion="8" minRefreshableVersion="3" recordCount="703" xr:uid="{D06CE807-A1BB-4F30-97D0-49F52FCF8D09}">
  <cacheSource type="worksheet">
    <worksheetSource name="HEALTHCARE"/>
  </cacheSource>
  <cacheFields count="17">
    <cacheField name="Customer ID" numFmtId="0">
      <sharedItems count="703">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haredItems>
    </cacheField>
    <cacheField name="FIRST NAME" numFmtId="0">
      <sharedItems count="663">
        <s v="Hawks"/>
        <s v="Lehner"/>
        <s v="Lu"/>
        <s v="Osborne"/>
        <s v="Kadala"/>
        <s v="Baker"/>
        <s v="Macpherson"/>
        <s v="Hallman"/>
        <s v="Moran"/>
        <s v="Benner"/>
        <s v="Fierro Vargas"/>
        <s v="Franz"/>
        <s v="Foster"/>
        <s v="Tenorio"/>
        <s v="Rios"/>
        <s v="Viau-Dupuis"/>
        <s v="Cronin"/>
        <s v="Noordstar"/>
        <s v="Boudalia"/>
        <s v="Flor"/>
        <s v="Fennon"/>
        <s v="Hribar"/>
        <s v="Tassello"/>
        <s v="Mauricette"/>
        <s v="Garcia"/>
        <s v="Airoldi"/>
        <s v="Cater-Cyker"/>
        <s v="Hamm"/>
        <s v="Cox"/>
        <s v="Sachrajda"/>
        <s v="Gareri"/>
        <s v="Welch"/>
        <s v="Prindiville"/>
        <s v="Kincaid"/>
        <s v="Bruestle"/>
        <s v="Lachance"/>
        <s v="Eason"/>
        <s v="Grummon"/>
        <s v="Vanwechel"/>
        <s v="Fisher"/>
        <s v="Jenkins"/>
        <s v="Peters"/>
        <s v="Aha"/>
        <s v="Mcelwain"/>
        <s v="Januszewski"/>
        <s v="Rohne"/>
        <s v="O'Grady"/>
        <s v="De Simone"/>
        <s v="Beckett"/>
        <s v="Sobrilsky"/>
        <s v="Wang"/>
        <s v="Campa"/>
        <s v="Clifford"/>
        <s v="Dalmata"/>
        <s v="Vishik"/>
        <s v="Schorr"/>
        <s v="Lusardi"/>
        <s v="Rayner"/>
        <s v="Voghel"/>
        <s v="Rieth"/>
        <s v="Gollotto"/>
        <s v="Dunn"/>
        <s v="Blitzer"/>
        <s v="Smith"/>
        <s v="Hyland"/>
        <s v="Ducharme"/>
        <s v="Johnson"/>
        <s v="Mutz"/>
        <s v="Lee"/>
        <s v="Turner"/>
        <s v="Rangel"/>
        <s v="Lacey"/>
        <s v="Stiger"/>
        <s v="Caldwell"/>
        <s v="Marmillod"/>
        <s v="Cloutier-Simons"/>
        <s v="Vegas"/>
        <s v="Cochran"/>
        <s v="Holtzapple"/>
        <s v="Meyer"/>
        <s v="Brickley"/>
        <s v="Magee"/>
        <s v="Thoma"/>
        <s v="Heagy"/>
        <s v="Regnier"/>
        <s v="Parendo"/>
        <s v="Schell"/>
        <s v="Driscoll"/>
        <s v="Mitchell"/>
        <s v="Cutler"/>
        <s v="Derian"/>
        <s v="Farina"/>
        <s v="Saunders"/>
        <s v="Kratz"/>
        <s v="Boland"/>
        <s v="Van Hout"/>
        <s v="Ramsey"/>
        <s v="Gage"/>
        <s v="Gollins"/>
        <s v="Benestad"/>
        <s v="Aviv"/>
        <s v="Burns"/>
        <s v="Maldonado"/>
        <s v="Yitref"/>
        <s v="Loudon-Brown"/>
        <s v="Sugathadasa"/>
        <s v="Ganley"/>
        <s v="Potter"/>
        <s v="Rasmussen"/>
        <s v="Robinson"/>
        <s v="Antonopoulos"/>
        <s v="Groner"/>
        <s v="Zywicki"/>
        <s v="Cardinal"/>
        <s v="Alleman"/>
        <s v="Stroffolino"/>
        <s v="Clubb"/>
        <s v="Mcgoogan"/>
        <s v="Keflezighi"/>
        <s v="Syed"/>
        <s v="Segal"/>
        <s v="Defranco"/>
        <s v="Kells"/>
        <s v="Lawton"/>
        <s v="Bejar"/>
        <s v="Navarro Castro"/>
        <s v="Tice"/>
        <s v="Wolf"/>
        <s v="Oppedal"/>
        <s v="Wright"/>
        <s v="Ellis"/>
        <s v="Taormina"/>
        <s v="Lynch"/>
        <s v="Tavella"/>
        <s v="Neufeld"/>
        <s v="Walhovd"/>
        <s v="Washburn"/>
        <s v="Mroz"/>
        <s v="Canaday"/>
        <s v="Atkins"/>
        <s v="Kropelnicki"/>
        <s v="Braund"/>
        <s v="Anderson"/>
        <s v="Bilbrey"/>
        <s v="Curtis"/>
        <s v="Bardeesy"/>
        <s v="Shanahan"/>
        <s v="Sutter"/>
        <s v="Yesian"/>
        <s v="Meers"/>
        <s v="Conlon"/>
        <s v="Arnstein"/>
        <s v="Jurek"/>
        <s v="Thill"/>
        <s v="Glaz"/>
        <s v="Sampson"/>
        <s v="Duliba"/>
        <s v="Tanguay"/>
        <s v="Mcclelland"/>
        <s v="Gorman"/>
        <s v="Nishimura"/>
        <s v="Brimble"/>
        <s v="Trenk"/>
        <s v="Wittmann"/>
        <s v="Tremblay"/>
        <s v="Scofield"/>
        <s v="Yost"/>
        <s v="Torphy"/>
        <s v="Busby"/>
        <s v="Nguyen"/>
        <s v="Hanley"/>
        <s v="Scheer"/>
        <s v="Rankin"/>
        <s v="Ricardi"/>
        <s v="Karkos"/>
        <s v="Price-Dierksen"/>
        <s v="Knispel"/>
        <s v="King"/>
        <s v="Samuelson"/>
        <s v="Fredsall"/>
        <s v="Eggleston"/>
        <s v="Palombaro"/>
        <s v="Silva"/>
        <s v="Bugala"/>
        <s v="Dublin"/>
        <s v="Cleland"/>
        <s v="Evans"/>
        <s v="Boyd"/>
        <s v="Roulier"/>
        <s v="Mullins"/>
        <s v="Hofmann"/>
        <s v="Garcia Garcia"/>
        <s v="Klecker"/>
        <s v="Cancre"/>
        <s v="Denucci"/>
        <s v="Saldana"/>
        <s v="Weinberg"/>
        <s v="Walsh"/>
        <s v="Pasten"/>
        <s v="Labelle"/>
        <s v="Guzman"/>
        <s v="Turnbull"/>
        <s v="Aguero"/>
        <s v="Woodward"/>
        <s v="Mcelroy"/>
        <s v="Lopez"/>
        <s v="Cardosi"/>
        <s v="Looney"/>
        <s v="Zyryanov"/>
        <s v="Gavin"/>
        <s v="Littlefield"/>
        <s v="Shearer"/>
        <s v="Armstrong"/>
        <s v="Warriner"/>
        <s v="White"/>
        <s v="Cordaro"/>
        <s v="Hamilton"/>
        <s v="Duke"/>
        <s v="Malatesta"/>
        <s v="Hinrichsen"/>
        <s v="Lucan"/>
        <s v="Koch"/>
        <s v="O'Connor"/>
        <s v="Kampwerth"/>
        <s v="Federoff"/>
        <s v="Goya"/>
        <s v="Hodges"/>
        <s v="Erickson"/>
        <s v="Welleck"/>
        <s v="Polen"/>
        <s v="Hufstader"/>
        <s v="Doak"/>
        <s v="Noya"/>
        <s v="Heninger"/>
        <s v="Richardson"/>
        <s v="Deucher"/>
        <s v="Wilson"/>
        <s v="Hall"/>
        <s v="Reed"/>
        <s v="Frome"/>
        <s v="Creasy"/>
        <s v="Latimer"/>
        <s v="Wei"/>
        <s v="Hayes"/>
        <s v="Velardo"/>
        <s v="Kastes"/>
        <s v="Escorcia"/>
        <s v="Larscheid"/>
        <s v="O'Bannon"/>
        <s v="Ridgway"/>
        <s v="Black"/>
        <s v="Canton"/>
        <s v="Fine"/>
        <s v="Bui"/>
        <s v="Riepma"/>
        <s v="Inman"/>
        <s v="Kruzel"/>
        <s v="Lindsay"/>
        <s v="Land"/>
        <s v="Brecher"/>
        <s v="Debolt"/>
        <s v="Oswalt"/>
        <s v="Bulewich"/>
        <s v="Fukuda"/>
        <s v="Phillips"/>
        <s v="Maddison"/>
        <s v="Lockwood"/>
        <s v="Defilippi"/>
        <s v="Jackson"/>
        <s v="Ozahowski"/>
        <s v="Guthals"/>
        <s v="Yates"/>
        <s v="Lemos"/>
        <s v="Seynders"/>
        <s v="Walker"/>
        <s v="Lam"/>
        <s v="Sweigart"/>
        <s v="Sieczkowski"/>
        <s v="Jurgens"/>
        <s v="Hackman"/>
        <s v="Klarich"/>
        <s v="Schulten"/>
        <s v="Fagerstrom"/>
        <s v="Bien"/>
        <s v="Hess"/>
        <s v="Shaw"/>
        <s v="Williams"/>
        <s v="Menzies"/>
        <s v="Buehler"/>
        <s v="Degen"/>
        <s v="Arsenault"/>
        <s v="Hoff"/>
        <s v="Ashley"/>
        <s v="Rindahl"/>
        <s v="Clark"/>
        <s v="Irish"/>
        <s v="Dewitt"/>
        <s v="Hickman"/>
        <s v="Gonzalez"/>
        <s v="Difani"/>
        <s v="Widmann"/>
        <s v="Tunney"/>
        <s v="San Juan"/>
        <s v="Croll"/>
        <s v="Rolfes"/>
        <s v="Hinkle"/>
        <s v="Leuchanka"/>
        <s v="Ayr"/>
        <s v="Siegel"/>
        <s v="Penrose"/>
        <s v="Schuler"/>
        <s v="Stange"/>
        <s v="Roy"/>
        <s v="Potere"/>
        <s v="Podgurski"/>
        <s v="Diamond"/>
        <s v="Sallade"/>
        <s v="Zhang"/>
        <s v="Chatfield"/>
        <s v="Bruns"/>
        <s v="Yochum"/>
        <s v="Freeburn"/>
        <s v="Spencer"/>
        <s v="Jarosik"/>
        <s v="Heinzen"/>
        <s v="Kelley"/>
        <s v="Thacker"/>
        <s v="Jeseritz"/>
        <s v="Hohman"/>
        <s v="Hill"/>
        <s v="Kuepfer"/>
        <s v="Kaczmarek"/>
        <s v="Pitt"/>
        <s v="Lorton"/>
        <s v="Castaneda"/>
        <s v="Cherop"/>
        <s v="Howell"/>
        <s v="Palmer"/>
        <s v="Olson"/>
        <s v="Waldron"/>
        <s v="Stack"/>
        <s v="Sanchez Y Torres"/>
        <s v="Daniels"/>
        <s v="Pepp"/>
        <s v="Buechler"/>
        <s v="Buenting"/>
        <s v="Arcand"/>
        <s v="Kesack"/>
        <s v="Post"/>
        <s v="Dunne"/>
        <s v="Kilel"/>
        <s v="Nicholson"/>
        <s v="Susmann"/>
        <s v="Harsh"/>
        <s v="Pocasangre"/>
        <s v="Martinez Lopez"/>
        <s v="Riegel"/>
        <s v="Monson"/>
        <s v="Klubben"/>
        <s v="Mascaro"/>
        <s v="Norvell"/>
        <s v="Ornelas"/>
        <s v="Fitzpatrick"/>
        <s v="Bloomquist"/>
        <s v="Wick"/>
        <s v="Zappala"/>
        <s v="Earle"/>
        <s v="Majewski"/>
        <s v="Apfelbaum"/>
        <s v="Graham"/>
        <s v="Whitacre"/>
        <s v="Wegener"/>
        <s v="Collie"/>
        <s v="Murphy"/>
        <s v="Butters"/>
        <s v="Cook"/>
        <s v="Breen"/>
        <s v="Fitzsimons"/>
        <s v="Houle"/>
        <s v="Ray"/>
        <s v="Jennings"/>
        <s v="Fuller"/>
        <s v="Lovisek"/>
        <s v="Painter"/>
        <s v="Edwards"/>
        <s v="Liebl"/>
        <s v="Kasabian-Larson"/>
        <s v="Creamer"/>
        <s v="Kimbel"/>
        <s v="Livensparger"/>
        <s v="Grange"/>
        <s v="Nunlist"/>
        <s v="Cutter"/>
        <s v="Martin"/>
        <s v="Cooney"/>
        <s v="Bier"/>
        <s v="Muskopf"/>
        <s v="Sirak"/>
        <s v="Nelsen"/>
        <s v="Schallner"/>
        <s v="Dunlap"/>
        <s v="Messing"/>
        <s v="Bondell"/>
        <s v="Gaughan"/>
        <s v="Gruman"/>
        <s v="Whitlow"/>
        <s v="Sabo"/>
        <s v="Nazarian"/>
        <s v="Lerma"/>
        <s v="Dahl"/>
        <s v="Surtees"/>
        <s v="Spetner"/>
        <s v="Brandon"/>
        <s v="Eley"/>
        <s v="Sedicum"/>
        <s v="Markle"/>
        <s v="Kunz"/>
        <s v="Wimert"/>
        <s v="Peterson"/>
        <s v="Mercier"/>
        <s v="Laurie"/>
        <s v="Sekaquaptewa"/>
        <s v="Frash"/>
        <s v="Bukowski"/>
        <s v="Sandahl"/>
        <s v="Speight"/>
        <s v="Nielsen"/>
        <s v="Zirdok"/>
        <s v="Crudale"/>
        <s v="Koopmans"/>
        <s v="Milani"/>
        <s v="Kelly"/>
        <s v="Finelli"/>
        <s v="Beasley"/>
        <s v="Bedbury"/>
        <s v="Stemberger"/>
        <s v="Chebet"/>
        <s v="Muir"/>
        <s v="Yang"/>
        <s v="Gravel"/>
        <s v="Jamieson"/>
        <s v="Dufeal"/>
        <s v="Sansonetti"/>
        <s v="Koneazny"/>
        <s v="Glasson"/>
        <s v="Canitz"/>
        <s v="Li"/>
        <s v="Parsons"/>
        <s v="Raulli"/>
        <s v="Sevcik"/>
        <s v="Narang"/>
        <s v="Royston"/>
        <s v="Tieri"/>
        <s v="Whitney"/>
        <s v="Wandzilak"/>
        <s v="Valenzona"/>
        <s v="Young"/>
        <s v="Richards"/>
        <s v="Alexson"/>
        <s v="Mckenna"/>
        <s v="Argall"/>
        <s v="Patchell"/>
        <s v="Catoggio"/>
        <s v="Adams"/>
        <s v="Windt"/>
        <s v="Ryan"/>
        <s v="Marion"/>
        <s v="Raffetto"/>
        <s v="Oehlke"/>
        <s v="Sudol"/>
        <s v="Van Es"/>
        <s v="Dolge"/>
        <s v="Marlier"/>
        <s v="Girard"/>
        <s v="Hubbard"/>
        <s v="Koester"/>
        <s v="Matthews"/>
        <s v="Rubinich"/>
        <s v="Alban"/>
        <s v="Corcoran"/>
        <s v="Sargent"/>
        <s v="Watson"/>
        <s v="Esponda"/>
        <s v="Krall"/>
        <s v="Poskin"/>
        <s v="Halfmann"/>
        <s v="Klapper"/>
        <s v="George"/>
        <s v="Hicks"/>
        <s v="Lockyer"/>
        <s v="Byrnes"/>
        <s v="Norris"/>
        <s v="Darda"/>
        <s v="Otstot"/>
        <s v="Bowley"/>
        <s v="Rogers"/>
        <s v="Mclaughlin"/>
        <s v="Ziegler"/>
        <s v="Hughey"/>
        <s v="Knast"/>
        <s v="Stob"/>
        <s v="Jensen"/>
        <s v="Mutter"/>
        <s v="Ahern"/>
        <s v="Chviruk"/>
        <s v="Meehan"/>
        <s v="Gammon"/>
        <s v="Franco"/>
        <s v="Patterson"/>
        <s v="Valdes"/>
        <s v="Craig"/>
        <s v="Whipple"/>
        <s v="Marton"/>
        <s v="Hildebrandt"/>
        <s v="Biggs"/>
        <s v="Shigezumi"/>
        <s v="Meineke"/>
        <s v="Ludington"/>
        <s v="Perrich"/>
        <s v="Cervantes"/>
        <s v="Andrews"/>
        <s v="Ruvalcaba"/>
        <s v="Stone"/>
        <s v="Campbell"/>
        <s v="Asher"/>
        <s v="Mazzotta"/>
        <s v="Huttl"/>
        <s v="Ferron"/>
        <s v="Colarusso"/>
        <s v="Pearlman"/>
        <s v="O'Mara"/>
        <s v="Niska"/>
        <s v="Schlich"/>
        <s v="Zidek"/>
        <s v="Ellgass"/>
        <s v="Lowe"/>
        <s v="Malone"/>
        <s v="Dumke"/>
        <s v="Strong"/>
        <s v="Ferguson"/>
        <s v="Klein"/>
        <s v="Eusebio"/>
        <s v="Szolosi"/>
        <s v="Butler"/>
        <s v="Fukuchi"/>
        <s v="Drucker"/>
        <s v="Aziz"/>
        <s v="Pak"/>
        <s v="Kieta"/>
        <s v="Velez"/>
        <s v="Bussiere"/>
        <s v="Mccartney"/>
        <s v="Bambauer"/>
        <s v="Mertz"/>
        <s v="Mason"/>
        <s v="Rotich"/>
        <s v="Fetzer"/>
        <s v="Mattis"/>
        <s v="Balinsky"/>
        <s v="Reilly"/>
        <s v="Petry"/>
        <s v="Laleman"/>
        <s v="Colby"/>
        <s v="Wathke"/>
        <s v="Daly"/>
        <s v="Dillon"/>
        <s v="Pontes"/>
        <s v="Spies"/>
        <s v="Greig"/>
        <s v="Scott"/>
        <s v="Erlandson"/>
        <s v="Autrey"/>
        <s v="Michalski"/>
        <s v="Grillo"/>
        <s v="Coronado"/>
        <s v="Dewine"/>
        <s v="Carman"/>
        <s v="Neems"/>
        <s v="Pesyna"/>
        <s v="Meling"/>
        <s v="Widlowski"/>
        <s v="Nadar"/>
        <s v="Leedham"/>
        <s v="Haglund"/>
        <s v="Mills"/>
        <s v="Drnjevich"/>
        <s v="Clay"/>
        <s v="Marbury"/>
        <s v="Coon"/>
        <s v="Vanttinen"/>
        <s v="Garges"/>
        <s v="Rivel"/>
        <s v="Lawson"/>
        <s v="Cale"/>
        <s v="Stewart"/>
        <s v="Drotz"/>
        <s v="Mutai"/>
        <s v="Lovlien"/>
        <s v="Stoney"/>
        <s v="Markert"/>
        <s v="Mclucas"/>
        <s v="Erwin"/>
        <s v="Otsuka"/>
        <s v="Myers"/>
        <s v="Cote"/>
        <s v="Ehrhardt"/>
        <s v="Petersen"/>
        <s v="Ertel"/>
        <s v="Lanza"/>
        <s v="Picklesimer"/>
        <s v="Giles"/>
        <s v="Harmon"/>
        <s v="Pennings"/>
        <s v="Tseronis"/>
        <s v="Aliff"/>
        <s v="Willenberg"/>
        <s v="Millett"/>
        <s v="Haley"/>
        <s v="Ackerman"/>
        <s v="Valdez"/>
        <s v="Michaud"/>
        <s v="Gunnink"/>
        <s v="Knight"/>
        <s v="Grosscup"/>
        <s v="Koniuch"/>
        <s v="Heitzman"/>
        <s v="Tatton"/>
        <s v="Flanagan"/>
        <s v="Funk"/>
        <s v="Davenport"/>
        <s v="Lindbloom"/>
        <s v="Wijayaratne"/>
        <s v="Ainsworth"/>
        <s v="Gayagoy"/>
        <s v="Fitzmaurice"/>
        <s v="Rodriguez"/>
        <s v="Tsoucas"/>
        <s v="Muhly"/>
        <s v="Lund"/>
        <s v="Battaglino"/>
        <s v="Pena"/>
        <s v="Thomason"/>
        <s v="Hancox"/>
        <s v="Canarecci"/>
        <s v="Toupin"/>
        <s v="Mulley"/>
        <s v="Parry"/>
        <s v="Mason Cox"/>
        <s v="Thompson"/>
        <s v="Nelson"/>
        <s v="Forte"/>
        <s v="Corona Iturriaga"/>
        <s v="Mccollum"/>
        <s v="Hevner"/>
        <s v="Looi"/>
        <s v="Power"/>
        <s v="Routon"/>
        <s v="Dochelli"/>
        <s v="Gillespie"/>
        <s v="Oskvig"/>
        <s v="Holland-Stergar"/>
        <s v="Arai"/>
        <s v="Olausson"/>
      </sharedItems>
    </cacheField>
    <cacheField name="BMI" numFmtId="0">
      <sharedItems containsSemiMixedTypes="0" containsString="0" containsNumber="1" minValue="16.05" maxValue="55.05"/>
    </cacheField>
    <cacheField name="HBA1C" numFmtId="0">
      <sharedItems containsSemiMixedTypes="0" containsString="0" containsNumber="1" minValue="4.01" maxValue="11.99"/>
    </cacheField>
    <cacheField name="HEART ISSUES" numFmtId="0">
      <sharedItems count="2">
        <s v="No"/>
        <s v="yes"/>
      </sharedItems>
    </cacheField>
    <cacheField name="ANY TRANSPLANT" numFmtId="0">
      <sharedItems count="2">
        <s v="No"/>
        <s v="yes"/>
      </sharedItems>
    </cacheField>
    <cacheField name="CANCER HISTORY" numFmtId="0">
      <sharedItems count="2">
        <s v="No"/>
        <s v="Yes"/>
      </sharedItems>
    </cacheField>
    <cacheField name="NUMBEROFMAJORSURJ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6T00:00:00"/>
    </cacheField>
    <cacheField name="CHARGES" numFmtId="0">
      <sharedItems containsSemiMixedTypes="0" containsString="0" containsNumber="1" minValue="14394.4" maxValue="63770.43" count="700">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303.17"/>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984.09"/>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sharedItems>
    </cacheField>
    <cacheField name="HOSPITAL TIER" numFmtId="0">
      <sharedItems count="3">
        <s v="tier - 1"/>
        <s v="tier - 2"/>
        <s v="tier - 3"/>
      </sharedItems>
    </cacheField>
    <cacheField name="CITY TIER" numFmtId="0">
      <sharedItems/>
    </cacheField>
    <cacheField name="STATE ID" numFmtId="0">
      <sharedItems count="16">
        <s v="R1013"/>
        <s v="R1012"/>
        <s v="R1024"/>
        <s v="R1011"/>
        <s v="R1016"/>
        <s v="R1015"/>
        <s v="R1017"/>
        <s v="R1014"/>
        <s v="R1023"/>
        <s v="R1019"/>
        <s v="unknown"/>
        <s v="R1018"/>
        <s v="R1026"/>
        <s v="R1022"/>
        <s v="R1021"/>
        <s v="R1025"/>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173862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AGE"/>
    <x v="0"/>
    <x v="0"/>
    <x v="0"/>
    <n v="4.6587711476702515E-2"/>
  </r>
  <r>
    <s v="BMI"/>
    <x v="1"/>
    <x v="1"/>
    <x v="1"/>
    <n v="0.14922705798790187"/>
  </r>
  <r>
    <s v="HBA1C"/>
    <x v="2"/>
    <x v="2"/>
    <x v="2"/>
    <n v="4.5492621774082823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
  <r>
    <x v="0"/>
    <x v="0"/>
    <n v="47.41"/>
    <n v="7.47"/>
    <x v="0"/>
    <x v="0"/>
    <x v="0"/>
    <n v="0"/>
    <x v="0"/>
    <x v="0"/>
    <x v="0"/>
    <d v="1968-10-12T00:00:00"/>
    <x v="0"/>
    <x v="0"/>
    <s v="tier - 3"/>
    <x v="0"/>
    <n v="54"/>
  </r>
  <r>
    <x v="1"/>
    <x v="1"/>
    <n v="30.36"/>
    <n v="5.77"/>
    <x v="0"/>
    <x v="0"/>
    <x v="0"/>
    <n v="0"/>
    <x v="0"/>
    <x v="0"/>
    <x v="1"/>
    <d v="1977-06-08T00:00:00"/>
    <x v="1"/>
    <x v="1"/>
    <s v="tier - 3"/>
    <x v="0"/>
    <n v="46"/>
  </r>
  <r>
    <x v="2"/>
    <x v="2"/>
    <n v="34.484999999999999"/>
    <n v="11.87"/>
    <x v="1"/>
    <x v="0"/>
    <x v="0"/>
    <n v="2"/>
    <x v="0"/>
    <x v="0"/>
    <x v="0"/>
    <d v="1970-09-11T00:00:00"/>
    <x v="2"/>
    <x v="0"/>
    <s v="tier - 1"/>
    <x v="1"/>
    <n v="52"/>
  </r>
  <r>
    <x v="3"/>
    <x v="3"/>
    <n v="38.094999999999999"/>
    <n v="6.05"/>
    <x v="0"/>
    <x v="0"/>
    <x v="0"/>
    <n v="0"/>
    <x v="0"/>
    <x v="0"/>
    <x v="1"/>
    <d v="1991-06-06T00:00:00"/>
    <x v="3"/>
    <x v="0"/>
    <s v="tier - 3"/>
    <x v="2"/>
    <n v="32"/>
  </r>
  <r>
    <x v="4"/>
    <x v="4"/>
    <n v="35.53"/>
    <n v="5.45"/>
    <x v="0"/>
    <x v="0"/>
    <x v="0"/>
    <n v="0"/>
    <x v="0"/>
    <x v="0"/>
    <x v="2"/>
    <d v="1989-06-19T00:00:00"/>
    <x v="4"/>
    <x v="0"/>
    <s v="tier - 2"/>
    <x v="1"/>
    <n v="33"/>
  </r>
  <r>
    <x v="5"/>
    <x v="5"/>
    <n v="32.799999999999997"/>
    <n v="6.59"/>
    <x v="0"/>
    <x v="0"/>
    <x v="0"/>
    <n v="0"/>
    <x v="0"/>
    <x v="0"/>
    <x v="0"/>
    <d v="1962-08-04T00:00:00"/>
    <x v="5"/>
    <x v="0"/>
    <s v="tier - 3"/>
    <x v="3"/>
    <n v="60"/>
  </r>
  <r>
    <x v="6"/>
    <x v="6"/>
    <n v="36.4"/>
    <n v="6.07"/>
    <x v="0"/>
    <x v="0"/>
    <x v="0"/>
    <n v="0"/>
    <x v="0"/>
    <x v="0"/>
    <x v="1"/>
    <d v="1994-10-27T00:00:00"/>
    <x v="6"/>
    <x v="0"/>
    <s v="tier - 3"/>
    <x v="3"/>
    <n v="28"/>
  </r>
  <r>
    <x v="7"/>
    <x v="7"/>
    <n v="36.96"/>
    <n v="7.93"/>
    <x v="0"/>
    <x v="0"/>
    <x v="0"/>
    <n v="3"/>
    <x v="0"/>
    <x v="0"/>
    <x v="0"/>
    <d v="1958-06-27T00:00:00"/>
    <x v="7"/>
    <x v="1"/>
    <s v="tier - 2"/>
    <x v="0"/>
    <n v="64"/>
  </r>
  <r>
    <x v="8"/>
    <x v="8"/>
    <n v="41.14"/>
    <n v="9.58"/>
    <x v="1"/>
    <x v="0"/>
    <x v="1"/>
    <n v="1"/>
    <x v="0"/>
    <x v="0"/>
    <x v="0"/>
    <d v="1963-09-04T00:00:00"/>
    <x v="8"/>
    <x v="0"/>
    <s v="tier - 2"/>
    <x v="0"/>
    <n v="59"/>
  </r>
  <r>
    <x v="9"/>
    <x v="9"/>
    <n v="38.06"/>
    <n v="10.79"/>
    <x v="0"/>
    <x v="0"/>
    <x v="0"/>
    <n v="0"/>
    <x v="0"/>
    <x v="0"/>
    <x v="0"/>
    <d v="1978-12-29T00:00:00"/>
    <x v="9"/>
    <x v="0"/>
    <s v="tier - 2"/>
    <x v="0"/>
    <n v="44"/>
  </r>
  <r>
    <x v="10"/>
    <x v="10"/>
    <n v="37.700000000000003"/>
    <n v="5.96"/>
    <x v="1"/>
    <x v="0"/>
    <x v="0"/>
    <n v="2"/>
    <x v="0"/>
    <x v="0"/>
    <x v="1"/>
    <d v="1959-07-22T00:00:00"/>
    <x v="10"/>
    <x v="1"/>
    <s v="tier - 1"/>
    <x v="3"/>
    <n v="63"/>
  </r>
  <r>
    <x v="11"/>
    <x v="11"/>
    <n v="42.13"/>
    <n v="11.9"/>
    <x v="0"/>
    <x v="0"/>
    <x v="0"/>
    <n v="0"/>
    <x v="0"/>
    <x v="0"/>
    <x v="0"/>
    <d v="1965-10-27T00:00:00"/>
    <x v="11"/>
    <x v="0"/>
    <s v="tier - 2"/>
    <x v="0"/>
    <n v="57"/>
  </r>
  <r>
    <x v="12"/>
    <x v="12"/>
    <n v="40.92"/>
    <n v="8.41"/>
    <x v="0"/>
    <x v="0"/>
    <x v="0"/>
    <n v="0"/>
    <x v="0"/>
    <x v="0"/>
    <x v="0"/>
    <d v="1962-10-11T00:00:00"/>
    <x v="12"/>
    <x v="0"/>
    <s v="tier - 2"/>
    <x v="0"/>
    <n v="60"/>
  </r>
  <r>
    <x v="13"/>
    <x v="13"/>
    <n v="40.564999999999998"/>
    <n v="7.02"/>
    <x v="0"/>
    <x v="0"/>
    <x v="0"/>
    <n v="0"/>
    <x v="0"/>
    <x v="0"/>
    <x v="0"/>
    <d v="1968-12-01T00:00:00"/>
    <x v="13"/>
    <x v="0"/>
    <s v="tier - 3"/>
    <x v="4"/>
    <n v="54"/>
  </r>
  <r>
    <x v="14"/>
    <x v="14"/>
    <n v="36.384999999999998"/>
    <n v="7.59"/>
    <x v="1"/>
    <x v="0"/>
    <x v="0"/>
    <n v="2"/>
    <x v="0"/>
    <x v="0"/>
    <x v="0"/>
    <d v="1961-12-21T00:00:00"/>
    <x v="14"/>
    <x v="0"/>
    <s v="tier - 3"/>
    <x v="2"/>
    <n v="61"/>
  </r>
  <r>
    <x v="15"/>
    <x v="15"/>
    <n v="39.9"/>
    <n v="11.32"/>
    <x v="0"/>
    <x v="0"/>
    <x v="0"/>
    <n v="0"/>
    <x v="0"/>
    <x v="0"/>
    <x v="0"/>
    <d v="1962-08-27T00:00:00"/>
    <x v="15"/>
    <x v="0"/>
    <s v="tier - 3"/>
    <x v="3"/>
    <n v="60"/>
  </r>
  <r>
    <x v="16"/>
    <x v="16"/>
    <n v="33.799999999999997"/>
    <n v="7.67"/>
    <x v="0"/>
    <x v="0"/>
    <x v="0"/>
    <n v="3"/>
    <x v="0"/>
    <x v="0"/>
    <x v="0"/>
    <d v="1958-11-16T00:00:00"/>
    <x v="16"/>
    <x v="1"/>
    <s v="tier - 3"/>
    <x v="3"/>
    <n v="64"/>
  </r>
  <r>
    <x v="17"/>
    <x v="17"/>
    <n v="36.765000000000001"/>
    <n v="7.29"/>
    <x v="1"/>
    <x v="0"/>
    <x v="1"/>
    <n v="1"/>
    <x v="0"/>
    <x v="0"/>
    <x v="0"/>
    <d v="1963-08-05T00:00:00"/>
    <x v="17"/>
    <x v="0"/>
    <s v="tier - 3"/>
    <x v="2"/>
    <n v="59"/>
  </r>
  <r>
    <x v="18"/>
    <x v="18"/>
    <n v="36.954999999999998"/>
    <n v="4.72"/>
    <x v="1"/>
    <x v="0"/>
    <x v="0"/>
    <n v="1"/>
    <x v="0"/>
    <x v="0"/>
    <x v="2"/>
    <d v="1964-11-07T00:00:00"/>
    <x v="18"/>
    <x v="0"/>
    <s v="tier - 3"/>
    <x v="1"/>
    <n v="58"/>
  </r>
  <r>
    <x v="19"/>
    <x v="19"/>
    <n v="42.9"/>
    <n v="11.41"/>
    <x v="0"/>
    <x v="0"/>
    <x v="0"/>
    <n v="0"/>
    <x v="0"/>
    <x v="0"/>
    <x v="0"/>
    <d v="1971-09-27T00:00:00"/>
    <x v="19"/>
    <x v="0"/>
    <s v="tier - 2"/>
    <x v="0"/>
    <n v="51"/>
  </r>
  <r>
    <x v="20"/>
    <x v="20"/>
    <n v="36.299999999999997"/>
    <n v="11.5"/>
    <x v="1"/>
    <x v="0"/>
    <x v="0"/>
    <n v="2"/>
    <x v="0"/>
    <x v="0"/>
    <x v="0"/>
    <d v="1961-06-13T00:00:00"/>
    <x v="20"/>
    <x v="0"/>
    <s v="tier - 3"/>
    <x v="3"/>
    <n v="61"/>
  </r>
  <r>
    <x v="21"/>
    <x v="21"/>
    <n v="32.200000000000003"/>
    <n v="6.22"/>
    <x v="1"/>
    <x v="0"/>
    <x v="0"/>
    <n v="2"/>
    <x v="0"/>
    <x v="0"/>
    <x v="1"/>
    <d v="1959-10-04T00:00:00"/>
    <x v="21"/>
    <x v="1"/>
    <s v="tier - 1"/>
    <x v="3"/>
    <n v="63"/>
  </r>
  <r>
    <x v="22"/>
    <x v="22"/>
    <n v="31.3"/>
    <n v="11.38"/>
    <x v="0"/>
    <x v="0"/>
    <x v="0"/>
    <n v="3"/>
    <x v="0"/>
    <x v="0"/>
    <x v="0"/>
    <d v="1958-09-03T00:00:00"/>
    <x v="22"/>
    <x v="1"/>
    <s v="tier - 1"/>
    <x v="3"/>
    <n v="64"/>
  </r>
  <r>
    <x v="23"/>
    <x v="23"/>
    <n v="41.8"/>
    <n v="7.89"/>
    <x v="1"/>
    <x v="0"/>
    <x v="0"/>
    <n v="2"/>
    <x v="0"/>
    <x v="0"/>
    <x v="0"/>
    <d v="1970-12-28T00:00:00"/>
    <x v="23"/>
    <x v="0"/>
    <s v="tier - 2"/>
    <x v="0"/>
    <n v="52"/>
  </r>
  <r>
    <x v="24"/>
    <x v="24"/>
    <n v="35.090000000000003"/>
    <n v="4.38"/>
    <x v="1"/>
    <x v="0"/>
    <x v="0"/>
    <n v="2"/>
    <x v="0"/>
    <x v="0"/>
    <x v="2"/>
    <d v="1959-07-14T00:00:00"/>
    <x v="24"/>
    <x v="1"/>
    <s v="tier - 1"/>
    <x v="0"/>
    <n v="63"/>
  </r>
  <r>
    <x v="25"/>
    <x v="25"/>
    <n v="33.880000000000003"/>
    <n v="7.01"/>
    <x v="0"/>
    <x v="0"/>
    <x v="0"/>
    <n v="3"/>
    <x v="0"/>
    <x v="0"/>
    <x v="0"/>
    <d v="1958-09-15T00:00:00"/>
    <x v="25"/>
    <x v="1"/>
    <s v="tier - 3"/>
    <x v="0"/>
    <n v="64"/>
  </r>
  <r>
    <x v="26"/>
    <x v="26"/>
    <n v="30.875"/>
    <n v="11.88"/>
    <x v="0"/>
    <x v="0"/>
    <x v="0"/>
    <n v="0"/>
    <x v="0"/>
    <x v="0"/>
    <x v="0"/>
    <d v="1960-11-17T00:00:00"/>
    <x v="26"/>
    <x v="0"/>
    <s v="tier - 1"/>
    <x v="1"/>
    <n v="62"/>
  </r>
  <r>
    <x v="27"/>
    <x v="27"/>
    <n v="36.86"/>
    <n v="5.19"/>
    <x v="1"/>
    <x v="0"/>
    <x v="1"/>
    <n v="1"/>
    <x v="0"/>
    <x v="0"/>
    <x v="2"/>
    <d v="1969-06-23T00:00:00"/>
    <x v="27"/>
    <x v="0"/>
    <s v="tier - 3"/>
    <x v="1"/>
    <n v="53"/>
  </r>
  <r>
    <x v="28"/>
    <x v="28"/>
    <n v="35.86"/>
    <n v="6.74"/>
    <x v="1"/>
    <x v="0"/>
    <x v="0"/>
    <n v="2"/>
    <x v="0"/>
    <x v="0"/>
    <x v="0"/>
    <d v="1961-08-08T00:00:00"/>
    <x v="28"/>
    <x v="0"/>
    <s v="tier - 1"/>
    <x v="0"/>
    <n v="61"/>
  </r>
  <r>
    <x v="29"/>
    <x v="29"/>
    <n v="37.049999999999997"/>
    <n v="8.44"/>
    <x v="0"/>
    <x v="0"/>
    <x v="0"/>
    <n v="0"/>
    <x v="0"/>
    <x v="0"/>
    <x v="0"/>
    <d v="1971-12-06T00:00:00"/>
    <x v="29"/>
    <x v="0"/>
    <s v="tier - 3"/>
    <x v="2"/>
    <n v="51"/>
  </r>
  <r>
    <x v="30"/>
    <x v="30"/>
    <n v="43.89"/>
    <n v="8.7100000000000009"/>
    <x v="0"/>
    <x v="0"/>
    <x v="0"/>
    <n v="0"/>
    <x v="0"/>
    <x v="0"/>
    <x v="0"/>
    <d v="1978-08-17T00:00:00"/>
    <x v="30"/>
    <x v="0"/>
    <s v="tier - 1"/>
    <x v="0"/>
    <n v="44"/>
  </r>
  <r>
    <x v="31"/>
    <x v="31"/>
    <n v="42.35"/>
    <n v="5.08"/>
    <x v="1"/>
    <x v="0"/>
    <x v="0"/>
    <n v="0"/>
    <x v="0"/>
    <x v="0"/>
    <x v="2"/>
    <d v="1976-12-02T00:00:00"/>
    <x v="31"/>
    <x v="0"/>
    <s v="tier - 3"/>
    <x v="0"/>
    <n v="46"/>
  </r>
  <r>
    <x v="32"/>
    <x v="32"/>
    <n v="31.35"/>
    <n v="6.86"/>
    <x v="0"/>
    <x v="0"/>
    <x v="0"/>
    <n v="0"/>
    <x v="0"/>
    <x v="0"/>
    <x v="0"/>
    <d v="1962-12-04T00:00:00"/>
    <x v="32"/>
    <x v="0"/>
    <s v="tier - 1"/>
    <x v="1"/>
    <n v="60"/>
  </r>
  <r>
    <x v="33"/>
    <x v="33"/>
    <n v="47.6"/>
    <n v="5.95"/>
    <x v="1"/>
    <x v="0"/>
    <x v="0"/>
    <n v="0"/>
    <x v="0"/>
    <x v="0"/>
    <x v="1"/>
    <d v="1985-09-30T00:00:00"/>
    <x v="33"/>
    <x v="1"/>
    <s v="tier - 3"/>
    <x v="3"/>
    <n v="37"/>
  </r>
  <r>
    <x v="34"/>
    <x v="34"/>
    <n v="46.2"/>
    <n v="6.09"/>
    <x v="0"/>
    <x v="0"/>
    <x v="1"/>
    <n v="1"/>
    <x v="0"/>
    <x v="0"/>
    <x v="1"/>
    <d v="1979-08-12T00:00:00"/>
    <x v="34"/>
    <x v="1"/>
    <s v="tier - 1"/>
    <x v="0"/>
    <n v="43"/>
  </r>
  <r>
    <x v="35"/>
    <x v="35"/>
    <n v="32.015000000000001"/>
    <n v="11.75"/>
    <x v="0"/>
    <x v="0"/>
    <x v="0"/>
    <n v="0"/>
    <x v="0"/>
    <x v="0"/>
    <x v="0"/>
    <d v="1960-12-21T00:00:00"/>
    <x v="35"/>
    <x v="1"/>
    <s v="tier - 2"/>
    <x v="4"/>
    <n v="62"/>
  </r>
  <r>
    <x v="36"/>
    <x v="36"/>
    <n v="40.564999999999998"/>
    <n v="7.37"/>
    <x v="0"/>
    <x v="0"/>
    <x v="0"/>
    <n v="0"/>
    <x v="0"/>
    <x v="0"/>
    <x v="0"/>
    <d v="1974-08-09T00:00:00"/>
    <x v="36"/>
    <x v="1"/>
    <s v="tier - 2"/>
    <x v="1"/>
    <n v="48"/>
  </r>
  <r>
    <x v="37"/>
    <x v="37"/>
    <n v="32.450000000000003"/>
    <n v="11.91"/>
    <x v="0"/>
    <x v="0"/>
    <x v="0"/>
    <n v="0"/>
    <x v="0"/>
    <x v="0"/>
    <x v="0"/>
    <d v="1962-12-17T00:00:00"/>
    <x v="37"/>
    <x v="1"/>
    <s v="tier - 2"/>
    <x v="0"/>
    <n v="60"/>
  </r>
  <r>
    <x v="38"/>
    <x v="38"/>
    <n v="34.96"/>
    <n v="6.52"/>
    <x v="0"/>
    <x v="0"/>
    <x v="0"/>
    <n v="0"/>
    <x v="0"/>
    <x v="0"/>
    <x v="0"/>
    <d v="1971-08-13T00:00:00"/>
    <x v="38"/>
    <x v="1"/>
    <s v="tier - 3"/>
    <x v="2"/>
    <n v="51"/>
  </r>
  <r>
    <x v="39"/>
    <x v="39"/>
    <n v="35.5"/>
    <n v="5.14"/>
    <x v="0"/>
    <x v="0"/>
    <x v="1"/>
    <n v="1"/>
    <x v="0"/>
    <x v="0"/>
    <x v="2"/>
    <d v="1993-10-11T00:00:00"/>
    <x v="39"/>
    <x v="1"/>
    <s v="tier - 2"/>
    <x v="3"/>
    <n v="29"/>
  </r>
  <r>
    <x v="40"/>
    <x v="40"/>
    <n v="52.58"/>
    <n v="4.1900000000000004"/>
    <x v="0"/>
    <x v="1"/>
    <x v="0"/>
    <n v="1"/>
    <x v="0"/>
    <x v="0"/>
    <x v="2"/>
    <d v="2000-08-02T00:00:00"/>
    <x v="40"/>
    <x v="1"/>
    <s v="tier - 3"/>
    <x v="0"/>
    <n v="22"/>
  </r>
  <r>
    <x v="41"/>
    <x v="41"/>
    <n v="35.200000000000003"/>
    <n v="11.68"/>
    <x v="1"/>
    <x v="0"/>
    <x v="0"/>
    <n v="0"/>
    <x v="0"/>
    <x v="0"/>
    <x v="0"/>
    <d v="1967-09-14T00:00:00"/>
    <x v="41"/>
    <x v="1"/>
    <s v="tier - 3"/>
    <x v="0"/>
    <n v="55"/>
  </r>
  <r>
    <x v="42"/>
    <x v="42"/>
    <n v="38.06"/>
    <n v="6.98"/>
    <x v="0"/>
    <x v="0"/>
    <x v="0"/>
    <n v="0"/>
    <x v="0"/>
    <x v="0"/>
    <x v="0"/>
    <d v="1971-10-29T00:00:00"/>
    <x v="42"/>
    <x v="1"/>
    <s v="tier - 2"/>
    <x v="0"/>
    <n v="51"/>
  </r>
  <r>
    <x v="43"/>
    <x v="43"/>
    <n v="34.21"/>
    <n v="8.34"/>
    <x v="0"/>
    <x v="0"/>
    <x v="0"/>
    <n v="0"/>
    <x v="0"/>
    <x v="0"/>
    <x v="0"/>
    <d v="1968-11-24T00:00:00"/>
    <x v="43"/>
    <x v="1"/>
    <s v="tier - 1"/>
    <x v="0"/>
    <n v="54"/>
  </r>
  <r>
    <x v="44"/>
    <x v="44"/>
    <n v="38.94"/>
    <n v="8.49"/>
    <x v="1"/>
    <x v="0"/>
    <x v="0"/>
    <n v="1"/>
    <x v="0"/>
    <x v="0"/>
    <x v="0"/>
    <d v="1975-06-01T00:00:00"/>
    <x v="44"/>
    <x v="1"/>
    <s v="tier - 2"/>
    <x v="0"/>
    <n v="48"/>
  </r>
  <r>
    <x v="45"/>
    <x v="45"/>
    <n v="30.21"/>
    <n v="5.34"/>
    <x v="1"/>
    <x v="0"/>
    <x v="0"/>
    <n v="1"/>
    <x v="0"/>
    <x v="0"/>
    <x v="2"/>
    <d v="1988-07-16T00:00:00"/>
    <x v="45"/>
    <x v="1"/>
    <s v="tier - 1"/>
    <x v="1"/>
    <n v="34"/>
  </r>
  <r>
    <x v="46"/>
    <x v="46"/>
    <n v="33.630000000000003"/>
    <n v="4.43"/>
    <x v="1"/>
    <x v="0"/>
    <x v="0"/>
    <n v="2"/>
    <x v="0"/>
    <x v="0"/>
    <x v="2"/>
    <d v="1966-10-05T00:00:00"/>
    <x v="46"/>
    <x v="1"/>
    <s v="tier - 2"/>
    <x v="1"/>
    <n v="56"/>
  </r>
  <r>
    <x v="47"/>
    <x v="41"/>
    <n v="40.369999999999997"/>
    <n v="4.47"/>
    <x v="0"/>
    <x v="0"/>
    <x v="0"/>
    <n v="0"/>
    <x v="0"/>
    <x v="0"/>
    <x v="2"/>
    <d v="1980-11-10T00:00:00"/>
    <x v="47"/>
    <x v="1"/>
    <s v="tier - 1"/>
    <x v="0"/>
    <n v="42"/>
  </r>
  <r>
    <x v="48"/>
    <x v="47"/>
    <n v="53.09"/>
    <n v="4.82"/>
    <x v="1"/>
    <x v="0"/>
    <x v="0"/>
    <n v="2"/>
    <x v="0"/>
    <x v="0"/>
    <x v="2"/>
    <d v="1966-07-02T00:00:00"/>
    <x v="48"/>
    <x v="1"/>
    <s v="tier - 3"/>
    <x v="1"/>
    <n v="56"/>
  </r>
  <r>
    <x v="49"/>
    <x v="48"/>
    <n v="31.79"/>
    <n v="5.51"/>
    <x v="1"/>
    <x v="0"/>
    <x v="0"/>
    <n v="2"/>
    <x v="0"/>
    <x v="0"/>
    <x v="2"/>
    <d v="1966-10-25T00:00:00"/>
    <x v="49"/>
    <x v="1"/>
    <s v="tier - 2"/>
    <x v="0"/>
    <n v="56"/>
  </r>
  <r>
    <x v="50"/>
    <x v="49"/>
    <n v="41.895000000000003"/>
    <n v="10.87"/>
    <x v="1"/>
    <x v="0"/>
    <x v="0"/>
    <n v="1"/>
    <x v="0"/>
    <x v="0"/>
    <x v="0"/>
    <d v="1986-12-29T00:00:00"/>
    <x v="50"/>
    <x v="1"/>
    <s v="tier - 1"/>
    <x v="5"/>
    <n v="36"/>
  </r>
  <r>
    <x v="51"/>
    <x v="50"/>
    <n v="31.16"/>
    <n v="9.34"/>
    <x v="0"/>
    <x v="0"/>
    <x v="0"/>
    <n v="0"/>
    <x v="0"/>
    <x v="0"/>
    <x v="0"/>
    <d v="1965-08-22T00:00:00"/>
    <x v="51"/>
    <x v="1"/>
    <s v="tier - 2"/>
    <x v="1"/>
    <n v="57"/>
  </r>
  <r>
    <x v="52"/>
    <x v="51"/>
    <n v="34.104999999999997"/>
    <n v="5.03"/>
    <x v="1"/>
    <x v="0"/>
    <x v="1"/>
    <n v="1"/>
    <x v="0"/>
    <x v="0"/>
    <x v="2"/>
    <d v="1969-12-03T00:00:00"/>
    <x v="52"/>
    <x v="1"/>
    <s v="tier - 2"/>
    <x v="4"/>
    <n v="53"/>
  </r>
  <r>
    <x v="53"/>
    <x v="52"/>
    <n v="51.93"/>
    <n v="11.05"/>
    <x v="0"/>
    <x v="0"/>
    <x v="0"/>
    <n v="0"/>
    <x v="0"/>
    <x v="0"/>
    <x v="0"/>
    <d v="1965-11-29T00:00:00"/>
    <x v="53"/>
    <x v="1"/>
    <s v="tier - 2"/>
    <x v="3"/>
    <n v="57"/>
  </r>
  <r>
    <x v="54"/>
    <x v="53"/>
    <n v="38.950000000000003"/>
    <n v="11.95"/>
    <x v="0"/>
    <x v="0"/>
    <x v="0"/>
    <n v="0"/>
    <x v="0"/>
    <x v="0"/>
    <x v="0"/>
    <d v="1978-11-04T00:00:00"/>
    <x v="54"/>
    <x v="0"/>
    <s v="tier - 2"/>
    <x v="1"/>
    <n v="44"/>
  </r>
  <r>
    <x v="55"/>
    <x v="54"/>
    <n v="36.630000000000003"/>
    <n v="7.72"/>
    <x v="1"/>
    <x v="0"/>
    <x v="0"/>
    <n v="1"/>
    <x v="0"/>
    <x v="0"/>
    <x v="0"/>
    <d v="1975-10-23T00:00:00"/>
    <x v="55"/>
    <x v="0"/>
    <s v="tier - 3"/>
    <x v="0"/>
    <n v="47"/>
  </r>
  <r>
    <x v="56"/>
    <x v="55"/>
    <n v="34.200000000000003"/>
    <n v="5.75"/>
    <x v="0"/>
    <x v="0"/>
    <x v="0"/>
    <n v="2"/>
    <x v="0"/>
    <x v="0"/>
    <x v="1"/>
    <d v="1972-09-10T00:00:00"/>
    <x v="56"/>
    <x v="0"/>
    <s v="tier - 1"/>
    <x v="3"/>
    <n v="50"/>
  </r>
  <r>
    <x v="57"/>
    <x v="56"/>
    <n v="50.63"/>
    <n v="11.89"/>
    <x v="0"/>
    <x v="0"/>
    <x v="0"/>
    <n v="0"/>
    <x v="0"/>
    <x v="0"/>
    <x v="0"/>
    <d v="1965-10-29T00:00:00"/>
    <x v="57"/>
    <x v="0"/>
    <s v="tier - 2"/>
    <x v="3"/>
    <n v="57"/>
  </r>
  <r>
    <x v="58"/>
    <x v="57"/>
    <n v="36.479999999999997"/>
    <n v="6.2"/>
    <x v="0"/>
    <x v="0"/>
    <x v="0"/>
    <n v="0"/>
    <x v="0"/>
    <x v="0"/>
    <x v="1"/>
    <d v="1977-10-21T00:00:00"/>
    <x v="58"/>
    <x v="0"/>
    <s v="tier - 2"/>
    <x v="1"/>
    <n v="45"/>
  </r>
  <r>
    <x v="59"/>
    <x v="58"/>
    <n v="54.82"/>
    <n v="10.61"/>
    <x v="0"/>
    <x v="0"/>
    <x v="0"/>
    <n v="0"/>
    <x v="0"/>
    <x v="0"/>
    <x v="0"/>
    <d v="1971-11-03T00:00:00"/>
    <x v="59"/>
    <x v="0"/>
    <s v="tier - 3"/>
    <x v="3"/>
    <n v="51"/>
  </r>
  <r>
    <x v="60"/>
    <x v="59"/>
    <n v="38.06"/>
    <n v="6.04"/>
    <x v="0"/>
    <x v="0"/>
    <x v="1"/>
    <n v="1"/>
    <x v="0"/>
    <x v="0"/>
    <x v="1"/>
    <d v="1979-12-27T00:00:00"/>
    <x v="60"/>
    <x v="0"/>
    <s v="tier - 3"/>
    <x v="0"/>
    <n v="43"/>
  </r>
  <r>
    <x v="61"/>
    <x v="60"/>
    <n v="51.48"/>
    <n v="9.33"/>
    <x v="1"/>
    <x v="0"/>
    <x v="0"/>
    <n v="0"/>
    <x v="0"/>
    <x v="0"/>
    <x v="0"/>
    <d v="1967-06-27T00:00:00"/>
    <x v="61"/>
    <x v="0"/>
    <s v="tier - 3"/>
    <x v="3"/>
    <n v="55"/>
  </r>
  <r>
    <x v="62"/>
    <x v="61"/>
    <n v="52.06"/>
    <n v="11.47"/>
    <x v="0"/>
    <x v="0"/>
    <x v="0"/>
    <n v="0"/>
    <x v="0"/>
    <x v="0"/>
    <x v="0"/>
    <d v="1968-08-03T00:00:00"/>
    <x v="62"/>
    <x v="0"/>
    <s v="tier - 2"/>
    <x v="3"/>
    <n v="54"/>
  </r>
  <r>
    <x v="63"/>
    <x v="62"/>
    <n v="30.684999999999999"/>
    <n v="7.02"/>
    <x v="1"/>
    <x v="0"/>
    <x v="0"/>
    <n v="0"/>
    <x v="0"/>
    <x v="0"/>
    <x v="0"/>
    <d v="1967-06-28T00:00:00"/>
    <x v="63"/>
    <x v="0"/>
    <s v="tier - 2"/>
    <x v="4"/>
    <n v="55"/>
  </r>
  <r>
    <x v="64"/>
    <x v="63"/>
    <n v="36.08"/>
    <n v="8.8000000000000007"/>
    <x v="1"/>
    <x v="0"/>
    <x v="0"/>
    <n v="1"/>
    <x v="0"/>
    <x v="0"/>
    <x v="0"/>
    <d v="1975-08-15T00:00:00"/>
    <x v="64"/>
    <x v="0"/>
    <s v="tier - 3"/>
    <x v="0"/>
    <n v="47"/>
  </r>
  <r>
    <x v="65"/>
    <x v="64"/>
    <n v="54.99"/>
    <n v="8.68"/>
    <x v="0"/>
    <x v="0"/>
    <x v="0"/>
    <n v="2"/>
    <x v="0"/>
    <x v="0"/>
    <x v="0"/>
    <d v="1973-09-18T00:00:00"/>
    <x v="65"/>
    <x v="0"/>
    <s v="tier - 1"/>
    <x v="3"/>
    <n v="49"/>
  </r>
  <r>
    <x v="66"/>
    <x v="65"/>
    <n v="35.97"/>
    <n v="6.12"/>
    <x v="0"/>
    <x v="0"/>
    <x v="1"/>
    <n v="1"/>
    <x v="0"/>
    <x v="0"/>
    <x v="1"/>
    <d v="1979-07-03T00:00:00"/>
    <x v="66"/>
    <x v="0"/>
    <s v="tier - 1"/>
    <x v="0"/>
    <n v="43"/>
  </r>
  <r>
    <x v="67"/>
    <x v="66"/>
    <n v="45.54"/>
    <n v="5.4"/>
    <x v="1"/>
    <x v="0"/>
    <x v="1"/>
    <n v="1"/>
    <x v="0"/>
    <x v="0"/>
    <x v="2"/>
    <d v="1997-12-09T00:00:00"/>
    <x v="67"/>
    <x v="0"/>
    <s v="tier - 3"/>
    <x v="0"/>
    <n v="25"/>
  </r>
  <r>
    <x v="68"/>
    <x v="67"/>
    <n v="35.53"/>
    <n v="4.3600000000000003"/>
    <x v="1"/>
    <x v="0"/>
    <x v="0"/>
    <n v="0"/>
    <x v="0"/>
    <x v="0"/>
    <x v="2"/>
    <d v="1976-11-28T00:00:00"/>
    <x v="68"/>
    <x v="0"/>
    <s v="tier - 1"/>
    <x v="2"/>
    <n v="46"/>
  </r>
  <r>
    <x v="69"/>
    <x v="68"/>
    <n v="30.8"/>
    <n v="9.77"/>
    <x v="0"/>
    <x v="0"/>
    <x v="0"/>
    <n v="0"/>
    <x v="0"/>
    <x v="0"/>
    <x v="0"/>
    <d v="1968-12-19T00:00:00"/>
    <x v="69"/>
    <x v="0"/>
    <s v="tier - 3"/>
    <x v="0"/>
    <n v="54"/>
  </r>
  <r>
    <x v="70"/>
    <x v="69"/>
    <n v="38.39"/>
    <n v="4.25"/>
    <x v="0"/>
    <x v="0"/>
    <x v="0"/>
    <n v="1"/>
    <x v="0"/>
    <x v="0"/>
    <x v="2"/>
    <d v="1984-11-10T00:00:00"/>
    <x v="70"/>
    <x v="0"/>
    <s v="tier - 1"/>
    <x v="0"/>
    <n v="38"/>
  </r>
  <r>
    <x v="71"/>
    <x v="70"/>
    <n v="32.299999999999997"/>
    <n v="4.76"/>
    <x v="0"/>
    <x v="0"/>
    <x v="0"/>
    <n v="2"/>
    <x v="0"/>
    <x v="0"/>
    <x v="2"/>
    <d v="1972-06-08T00:00:00"/>
    <x v="71"/>
    <x v="0"/>
    <s v="tier - 1"/>
    <x v="4"/>
    <n v="51"/>
  </r>
  <r>
    <x v="72"/>
    <x v="71"/>
    <n v="48.8"/>
    <n v="6.22"/>
    <x v="1"/>
    <x v="0"/>
    <x v="0"/>
    <n v="2"/>
    <x v="0"/>
    <x v="0"/>
    <x v="1"/>
    <d v="1966-09-21T00:00:00"/>
    <x v="72"/>
    <x v="0"/>
    <s v="tier - 3"/>
    <x v="3"/>
    <n v="56"/>
  </r>
  <r>
    <x v="73"/>
    <x v="72"/>
    <n v="45.5"/>
    <n v="7.96"/>
    <x v="0"/>
    <x v="0"/>
    <x v="0"/>
    <n v="0"/>
    <x v="0"/>
    <x v="0"/>
    <x v="0"/>
    <d v="1962-09-22T00:00:00"/>
    <x v="73"/>
    <x v="0"/>
    <s v="tier - 3"/>
    <x v="3"/>
    <n v="60"/>
  </r>
  <r>
    <x v="74"/>
    <x v="73"/>
    <n v="53.61"/>
    <n v="10.92"/>
    <x v="1"/>
    <x v="0"/>
    <x v="0"/>
    <n v="1"/>
    <x v="0"/>
    <x v="0"/>
    <x v="0"/>
    <d v="1975-09-29T00:00:00"/>
    <x v="74"/>
    <x v="0"/>
    <s v="tier - 1"/>
    <x v="3"/>
    <n v="47"/>
  </r>
  <r>
    <x v="75"/>
    <x v="74"/>
    <n v="36.19"/>
    <n v="11.51"/>
    <x v="1"/>
    <x v="0"/>
    <x v="0"/>
    <n v="1"/>
    <x v="0"/>
    <x v="0"/>
    <x v="0"/>
    <d v="1975-11-14T00:00:00"/>
    <x v="75"/>
    <x v="0"/>
    <s v="tier - 2"/>
    <x v="0"/>
    <n v="47"/>
  </r>
  <r>
    <x v="76"/>
    <x v="75"/>
    <n v="34.6"/>
    <n v="5.99"/>
    <x v="1"/>
    <x v="0"/>
    <x v="0"/>
    <n v="0"/>
    <x v="0"/>
    <x v="0"/>
    <x v="1"/>
    <d v="1976-10-29T00:00:00"/>
    <x v="76"/>
    <x v="0"/>
    <s v="tier - 3"/>
    <x v="3"/>
    <n v="46"/>
  </r>
  <r>
    <x v="77"/>
    <x v="76"/>
    <n v="54.12"/>
    <n v="11.57"/>
    <x v="0"/>
    <x v="0"/>
    <x v="0"/>
    <n v="0"/>
    <x v="0"/>
    <x v="0"/>
    <x v="0"/>
    <d v="1974-11-24T00:00:00"/>
    <x v="77"/>
    <x v="0"/>
    <s v="tier - 1"/>
    <x v="3"/>
    <n v="48"/>
  </r>
  <r>
    <x v="78"/>
    <x v="77"/>
    <n v="48.82"/>
    <n v="6.67"/>
    <x v="1"/>
    <x v="0"/>
    <x v="0"/>
    <n v="0"/>
    <x v="0"/>
    <x v="0"/>
    <x v="0"/>
    <d v="1967-12-22T00:00:00"/>
    <x v="78"/>
    <x v="0"/>
    <s v="tier - 2"/>
    <x v="3"/>
    <n v="55"/>
  </r>
  <r>
    <x v="79"/>
    <x v="78"/>
    <n v="51.01"/>
    <n v="9.1999999999999993"/>
    <x v="0"/>
    <x v="0"/>
    <x v="0"/>
    <n v="0"/>
    <x v="0"/>
    <x v="0"/>
    <x v="0"/>
    <d v="1971-10-16T00:00:00"/>
    <x v="79"/>
    <x v="0"/>
    <s v="tier - 2"/>
    <x v="3"/>
    <n v="51"/>
  </r>
  <r>
    <x v="80"/>
    <x v="79"/>
    <n v="45.65"/>
    <n v="5.1100000000000003"/>
    <x v="1"/>
    <x v="0"/>
    <x v="0"/>
    <n v="1"/>
    <x v="0"/>
    <x v="0"/>
    <x v="2"/>
    <d v="1964-10-07T00:00:00"/>
    <x v="80"/>
    <x v="0"/>
    <s v="tier - 2"/>
    <x v="3"/>
    <n v="58"/>
  </r>
  <r>
    <x v="81"/>
    <x v="80"/>
    <n v="52.9"/>
    <n v="5.34"/>
    <x v="0"/>
    <x v="0"/>
    <x v="0"/>
    <n v="0"/>
    <x v="0"/>
    <x v="0"/>
    <x v="2"/>
    <d v="1977-08-27T00:00:00"/>
    <x v="81"/>
    <x v="0"/>
    <s v="tier - 2"/>
    <x v="3"/>
    <n v="45"/>
  </r>
  <r>
    <x v="82"/>
    <x v="81"/>
    <n v="45.41"/>
    <n v="4.03"/>
    <x v="1"/>
    <x v="0"/>
    <x v="0"/>
    <n v="1"/>
    <x v="0"/>
    <x v="0"/>
    <x v="2"/>
    <d v="1964-06-06T00:00:00"/>
    <x v="82"/>
    <x v="0"/>
    <s v="tier - 3"/>
    <x v="3"/>
    <n v="59"/>
  </r>
  <r>
    <x v="83"/>
    <x v="82"/>
    <n v="49.41"/>
    <n v="4.2300000000000004"/>
    <x v="1"/>
    <x v="0"/>
    <x v="1"/>
    <n v="1"/>
    <x v="0"/>
    <x v="0"/>
    <x v="2"/>
    <d v="1969-08-08T00:00:00"/>
    <x v="83"/>
    <x v="0"/>
    <s v="tier - 2"/>
    <x v="3"/>
    <n v="53"/>
  </r>
  <r>
    <x v="84"/>
    <x v="83"/>
    <n v="31.824999999999999"/>
    <n v="4.0599999999999996"/>
    <x v="0"/>
    <x v="0"/>
    <x v="0"/>
    <n v="2"/>
    <x v="0"/>
    <x v="0"/>
    <x v="2"/>
    <d v="1972-09-06T00:00:00"/>
    <x v="84"/>
    <x v="0"/>
    <s v="tier - 3"/>
    <x v="4"/>
    <n v="50"/>
  </r>
  <r>
    <x v="85"/>
    <x v="84"/>
    <n v="51.28"/>
    <n v="4.68"/>
    <x v="0"/>
    <x v="0"/>
    <x v="0"/>
    <n v="2"/>
    <x v="0"/>
    <x v="0"/>
    <x v="2"/>
    <d v="1972-08-12T00:00:00"/>
    <x v="85"/>
    <x v="0"/>
    <s v="tier - 2"/>
    <x v="3"/>
    <n v="50"/>
  </r>
  <r>
    <x v="86"/>
    <x v="85"/>
    <n v="34.96"/>
    <n v="4.34"/>
    <x v="0"/>
    <x v="0"/>
    <x v="1"/>
    <n v="1"/>
    <x v="0"/>
    <x v="0"/>
    <x v="2"/>
    <d v="1979-10-11T00:00:00"/>
    <x v="86"/>
    <x v="0"/>
    <s v="tier - 3"/>
    <x v="6"/>
    <n v="43"/>
  </r>
  <r>
    <x v="87"/>
    <x v="86"/>
    <n v="33.11"/>
    <n v="10.51"/>
    <x v="0"/>
    <x v="0"/>
    <x v="0"/>
    <n v="0"/>
    <x v="0"/>
    <x v="0"/>
    <x v="0"/>
    <d v="1974-06-05T00:00:00"/>
    <x v="87"/>
    <x v="0"/>
    <s v="tier - 2"/>
    <x v="0"/>
    <n v="49"/>
  </r>
  <r>
    <x v="88"/>
    <x v="87"/>
    <n v="54.74"/>
    <n v="5.84"/>
    <x v="1"/>
    <x v="0"/>
    <x v="1"/>
    <n v="1"/>
    <x v="0"/>
    <x v="0"/>
    <x v="1"/>
    <d v="1983-09-08T00:00:00"/>
    <x v="88"/>
    <x v="0"/>
    <s v="tier - 2"/>
    <x v="3"/>
    <n v="39"/>
  </r>
  <r>
    <x v="89"/>
    <x v="88"/>
    <n v="32.56"/>
    <n v="5.41"/>
    <x v="0"/>
    <x v="0"/>
    <x v="1"/>
    <n v="1"/>
    <x v="0"/>
    <x v="0"/>
    <x v="2"/>
    <d v="1979-09-16T00:00:00"/>
    <x v="89"/>
    <x v="0"/>
    <s v="tier - 2"/>
    <x v="0"/>
    <n v="43"/>
  </r>
  <r>
    <x v="90"/>
    <x v="89"/>
    <n v="39.049999999999997"/>
    <n v="6.06"/>
    <x v="0"/>
    <x v="0"/>
    <x v="0"/>
    <n v="1"/>
    <x v="0"/>
    <x v="0"/>
    <x v="1"/>
    <d v="1992-08-04T00:00:00"/>
    <x v="90"/>
    <x v="0"/>
    <s v="tier - 2"/>
    <x v="0"/>
    <n v="30"/>
  </r>
  <r>
    <x v="91"/>
    <x v="90"/>
    <n v="42.75"/>
    <n v="4.22"/>
    <x v="0"/>
    <x v="0"/>
    <x v="0"/>
    <n v="0"/>
    <x v="0"/>
    <x v="0"/>
    <x v="2"/>
    <d v="1999-07-02T00:00:00"/>
    <x v="91"/>
    <x v="0"/>
    <s v="tier - 1"/>
    <x v="2"/>
    <n v="23"/>
  </r>
  <r>
    <x v="92"/>
    <x v="91"/>
    <n v="50.58"/>
    <n v="5.12"/>
    <x v="0"/>
    <x v="0"/>
    <x v="0"/>
    <n v="2"/>
    <x v="0"/>
    <x v="0"/>
    <x v="2"/>
    <d v="1972-06-10T00:00:00"/>
    <x v="92"/>
    <x v="0"/>
    <s v="tier - 3"/>
    <x v="3"/>
    <n v="50"/>
  </r>
  <r>
    <x v="93"/>
    <x v="92"/>
    <n v="30.495000000000001"/>
    <n v="4.57"/>
    <x v="1"/>
    <x v="0"/>
    <x v="0"/>
    <n v="0"/>
    <x v="0"/>
    <x v="0"/>
    <x v="2"/>
    <d v="1976-12-26T00:00:00"/>
    <x v="93"/>
    <x v="0"/>
    <s v="tier - 3"/>
    <x v="1"/>
    <n v="46"/>
  </r>
  <r>
    <x v="94"/>
    <x v="93"/>
    <n v="48.31"/>
    <n v="9.58"/>
    <x v="1"/>
    <x v="0"/>
    <x v="0"/>
    <n v="2"/>
    <x v="0"/>
    <x v="0"/>
    <x v="0"/>
    <d v="1970-09-25T00:00:00"/>
    <x v="94"/>
    <x v="0"/>
    <s v="tier - 1"/>
    <x v="3"/>
    <n v="52"/>
  </r>
  <r>
    <x v="95"/>
    <x v="94"/>
    <n v="48.99"/>
    <n v="9.7799999999999994"/>
    <x v="1"/>
    <x v="0"/>
    <x v="0"/>
    <n v="1"/>
    <x v="0"/>
    <x v="0"/>
    <x v="0"/>
    <d v="1975-07-10T00:00:00"/>
    <x v="95"/>
    <x v="0"/>
    <s v="tier - 3"/>
    <x v="1"/>
    <n v="47"/>
  </r>
  <r>
    <x v="96"/>
    <x v="95"/>
    <n v="38.39"/>
    <n v="4.1100000000000003"/>
    <x v="1"/>
    <x v="0"/>
    <x v="0"/>
    <n v="0"/>
    <x v="0"/>
    <x v="0"/>
    <x v="2"/>
    <d v="1985-11-03T00:00:00"/>
    <x v="96"/>
    <x v="0"/>
    <s v="tier - 2"/>
    <x v="0"/>
    <n v="37"/>
  </r>
  <r>
    <x v="97"/>
    <x v="96"/>
    <n v="44.34"/>
    <n v="4.0199999999999996"/>
    <x v="1"/>
    <x v="0"/>
    <x v="0"/>
    <n v="2"/>
    <x v="0"/>
    <x v="0"/>
    <x v="2"/>
    <d v="1966-08-12T00:00:00"/>
    <x v="97"/>
    <x v="0"/>
    <s v="tier - 3"/>
    <x v="3"/>
    <n v="56"/>
  </r>
  <r>
    <x v="98"/>
    <x v="97"/>
    <n v="41.51"/>
    <n v="6.92"/>
    <x v="0"/>
    <x v="0"/>
    <x v="0"/>
    <n v="0"/>
    <x v="0"/>
    <x v="0"/>
    <x v="0"/>
    <d v="1962-09-04T00:00:00"/>
    <x v="98"/>
    <x v="0"/>
    <s v="tier - 3"/>
    <x v="3"/>
    <n v="60"/>
  </r>
  <r>
    <x v="99"/>
    <x v="98"/>
    <n v="48.2"/>
    <n v="4.84"/>
    <x v="0"/>
    <x v="0"/>
    <x v="0"/>
    <n v="0"/>
    <x v="0"/>
    <x v="0"/>
    <x v="2"/>
    <d v="1977-06-27T00:00:00"/>
    <x v="99"/>
    <x v="0"/>
    <s v="tier - 3"/>
    <x v="1"/>
    <n v="45"/>
  </r>
  <r>
    <x v="100"/>
    <x v="99"/>
    <n v="35.75"/>
    <n v="8"/>
    <x v="1"/>
    <x v="0"/>
    <x v="0"/>
    <n v="0"/>
    <x v="0"/>
    <x v="0"/>
    <x v="0"/>
    <d v="1981-10-04T00:00:00"/>
    <x v="100"/>
    <x v="0"/>
    <s v="tier - 3"/>
    <x v="0"/>
    <n v="41"/>
  </r>
  <r>
    <x v="101"/>
    <x v="100"/>
    <n v="53.81"/>
    <n v="8.77"/>
    <x v="1"/>
    <x v="0"/>
    <x v="0"/>
    <n v="0"/>
    <x v="0"/>
    <x v="0"/>
    <x v="0"/>
    <d v="1981-07-28T00:00:00"/>
    <x v="101"/>
    <x v="0"/>
    <s v="tier - 2"/>
    <x v="3"/>
    <n v="41"/>
  </r>
  <r>
    <x v="102"/>
    <x v="101"/>
    <n v="49.48"/>
    <n v="4.96"/>
    <x v="0"/>
    <x v="0"/>
    <x v="1"/>
    <n v="1"/>
    <x v="0"/>
    <x v="0"/>
    <x v="2"/>
    <d v="1979-08-18T00:00:00"/>
    <x v="102"/>
    <x v="0"/>
    <s v="tier - 3"/>
    <x v="1"/>
    <n v="43"/>
  </r>
  <r>
    <x v="103"/>
    <x v="102"/>
    <n v="34.1"/>
    <n v="4.43"/>
    <x v="1"/>
    <x v="0"/>
    <x v="0"/>
    <n v="0"/>
    <x v="0"/>
    <x v="0"/>
    <x v="2"/>
    <d v="1985-10-21T00:00:00"/>
    <x v="103"/>
    <x v="0"/>
    <s v="tier - 2"/>
    <x v="3"/>
    <n v="37"/>
  </r>
  <r>
    <x v="104"/>
    <x v="103"/>
    <n v="35.299999999999997"/>
    <n v="5.82"/>
    <x v="1"/>
    <x v="0"/>
    <x v="1"/>
    <n v="1"/>
    <x v="0"/>
    <x v="0"/>
    <x v="1"/>
    <d v="1983-10-14T00:00:00"/>
    <x v="104"/>
    <x v="0"/>
    <s v="tier - 2"/>
    <x v="3"/>
    <n v="39"/>
  </r>
  <r>
    <x v="105"/>
    <x v="104"/>
    <n v="43.83"/>
    <n v="6.03"/>
    <x v="1"/>
    <x v="0"/>
    <x v="0"/>
    <n v="2"/>
    <x v="0"/>
    <x v="0"/>
    <x v="1"/>
    <d v="1966-08-12T00:00:00"/>
    <x v="105"/>
    <x v="0"/>
    <s v="tier - 3"/>
    <x v="3"/>
    <n v="56"/>
  </r>
  <r>
    <x v="106"/>
    <x v="105"/>
    <n v="50.07"/>
    <n v="9.27"/>
    <x v="0"/>
    <x v="0"/>
    <x v="0"/>
    <n v="0"/>
    <x v="0"/>
    <x v="0"/>
    <x v="0"/>
    <d v="1978-12-20T00:00:00"/>
    <x v="106"/>
    <x v="0"/>
    <s v="tier - 3"/>
    <x v="3"/>
    <n v="44"/>
  </r>
  <r>
    <x v="107"/>
    <x v="106"/>
    <n v="32.774999999999999"/>
    <n v="5.53"/>
    <x v="0"/>
    <x v="0"/>
    <x v="0"/>
    <n v="0"/>
    <x v="0"/>
    <x v="0"/>
    <x v="2"/>
    <d v="1982-12-25T00:00:00"/>
    <x v="107"/>
    <x v="0"/>
    <s v="tier - 1"/>
    <x v="1"/>
    <n v="40"/>
  </r>
  <r>
    <x v="108"/>
    <x v="107"/>
    <n v="34.104999999999997"/>
    <n v="5.07"/>
    <x v="0"/>
    <x v="0"/>
    <x v="0"/>
    <n v="1"/>
    <x v="0"/>
    <x v="0"/>
    <x v="2"/>
    <d v="1987-08-08T00:00:00"/>
    <x v="108"/>
    <x v="1"/>
    <s v="tier - 3"/>
    <x v="1"/>
    <n v="35"/>
  </r>
  <r>
    <x v="109"/>
    <x v="108"/>
    <n v="48.93"/>
    <n v="11.17"/>
    <x v="1"/>
    <x v="0"/>
    <x v="0"/>
    <n v="1"/>
    <x v="0"/>
    <x v="0"/>
    <x v="0"/>
    <d v="1975-12-02T00:00:00"/>
    <x v="109"/>
    <x v="1"/>
    <s v="tier - 2"/>
    <x v="3"/>
    <n v="47"/>
  </r>
  <r>
    <x v="110"/>
    <x v="109"/>
    <n v="37.07"/>
    <n v="6.14"/>
    <x v="1"/>
    <x v="0"/>
    <x v="0"/>
    <n v="0"/>
    <x v="0"/>
    <x v="0"/>
    <x v="1"/>
    <d v="1985-08-22T00:00:00"/>
    <x v="110"/>
    <x v="0"/>
    <s v="tier - 2"/>
    <x v="0"/>
    <n v="37"/>
  </r>
  <r>
    <x v="111"/>
    <x v="110"/>
    <n v="51.51"/>
    <n v="6.26"/>
    <x v="1"/>
    <x v="0"/>
    <x v="1"/>
    <n v="1"/>
    <x v="0"/>
    <x v="0"/>
    <x v="1"/>
    <d v="1983-06-01T00:00:00"/>
    <x v="111"/>
    <x v="1"/>
    <s v="tier - 2"/>
    <x v="3"/>
    <n v="40"/>
  </r>
  <r>
    <x v="112"/>
    <x v="111"/>
    <n v="34.799999999999997"/>
    <n v="4.72"/>
    <x v="1"/>
    <x v="0"/>
    <x v="0"/>
    <n v="0"/>
    <x v="0"/>
    <x v="0"/>
    <x v="2"/>
    <d v="1985-07-17T00:00:00"/>
    <x v="112"/>
    <x v="1"/>
    <s v="tier - 1"/>
    <x v="3"/>
    <n v="37"/>
  </r>
  <r>
    <x v="113"/>
    <x v="112"/>
    <n v="36.67"/>
    <n v="5.18"/>
    <x v="0"/>
    <x v="0"/>
    <x v="0"/>
    <n v="1"/>
    <x v="0"/>
    <x v="0"/>
    <x v="2"/>
    <d v="1987-07-24T00:00:00"/>
    <x v="113"/>
    <x v="0"/>
    <s v="tier - 1"/>
    <x v="7"/>
    <n v="35"/>
  </r>
  <r>
    <x v="114"/>
    <x v="113"/>
    <n v="30.9"/>
    <n v="9.4"/>
    <x v="0"/>
    <x v="0"/>
    <x v="0"/>
    <n v="2"/>
    <x v="0"/>
    <x v="0"/>
    <x v="0"/>
    <d v="1973-12-17T00:00:00"/>
    <x v="114"/>
    <x v="0"/>
    <s v="tier - 2"/>
    <x v="3"/>
    <n v="49"/>
  </r>
  <r>
    <x v="115"/>
    <x v="114"/>
    <n v="30.495000000000001"/>
    <n v="6.29"/>
    <x v="0"/>
    <x v="0"/>
    <x v="0"/>
    <n v="0"/>
    <x v="0"/>
    <x v="0"/>
    <x v="1"/>
    <d v="1977-08-12T00:00:00"/>
    <x v="115"/>
    <x v="1"/>
    <s v="tier - 1"/>
    <x v="1"/>
    <n v="45"/>
  </r>
  <r>
    <x v="116"/>
    <x v="115"/>
    <n v="44.88"/>
    <n v="6.04"/>
    <x v="0"/>
    <x v="0"/>
    <x v="1"/>
    <n v="1"/>
    <x v="0"/>
    <x v="0"/>
    <x v="1"/>
    <d v="2003-07-16T00:00:00"/>
    <x v="116"/>
    <x v="0"/>
    <s v="tier - 1"/>
    <x v="0"/>
    <n v="19"/>
  </r>
  <r>
    <x v="117"/>
    <x v="116"/>
    <n v="44.32"/>
    <n v="10.55"/>
    <x v="0"/>
    <x v="0"/>
    <x v="0"/>
    <n v="0"/>
    <x v="0"/>
    <x v="0"/>
    <x v="0"/>
    <d v="1968-09-29T00:00:00"/>
    <x v="117"/>
    <x v="1"/>
    <s v="tier - 2"/>
    <x v="3"/>
    <n v="54"/>
  </r>
  <r>
    <x v="118"/>
    <x v="117"/>
    <n v="46.39"/>
    <n v="5.09"/>
    <x v="0"/>
    <x v="0"/>
    <x v="0"/>
    <n v="0"/>
    <x v="0"/>
    <x v="0"/>
    <x v="2"/>
    <d v="1977-12-17T00:00:00"/>
    <x v="118"/>
    <x v="1"/>
    <s v="tier - 1"/>
    <x v="1"/>
    <n v="45"/>
  </r>
  <r>
    <x v="119"/>
    <x v="118"/>
    <n v="42.13"/>
    <n v="5.2"/>
    <x v="1"/>
    <x v="0"/>
    <x v="0"/>
    <n v="1"/>
    <x v="0"/>
    <x v="0"/>
    <x v="2"/>
    <d v="1995-08-07T00:00:00"/>
    <x v="119"/>
    <x v="0"/>
    <s v="tier - 3"/>
    <x v="0"/>
    <n v="27"/>
  </r>
  <r>
    <x v="120"/>
    <x v="119"/>
    <n v="30.78"/>
    <n v="8.4499999999999993"/>
    <x v="1"/>
    <x v="0"/>
    <x v="0"/>
    <n v="0"/>
    <x v="0"/>
    <x v="0"/>
    <x v="0"/>
    <d v="1981-07-05T00:00:00"/>
    <x v="120"/>
    <x v="0"/>
    <s v="tier - 2"/>
    <x v="6"/>
    <n v="41"/>
  </r>
  <r>
    <x v="121"/>
    <x v="120"/>
    <n v="31.35"/>
    <n v="9.5399999999999991"/>
    <x v="0"/>
    <x v="0"/>
    <x v="0"/>
    <n v="0"/>
    <x v="0"/>
    <x v="0"/>
    <x v="0"/>
    <d v="1978-07-12T00:00:00"/>
    <x v="121"/>
    <x v="0"/>
    <s v="tier - 2"/>
    <x v="5"/>
    <n v="44"/>
  </r>
  <r>
    <x v="122"/>
    <x v="121"/>
    <n v="41.46"/>
    <n v="4.99"/>
    <x v="1"/>
    <x v="0"/>
    <x v="0"/>
    <n v="2"/>
    <x v="0"/>
    <x v="0"/>
    <x v="2"/>
    <d v="1966-06-24T00:00:00"/>
    <x v="122"/>
    <x v="1"/>
    <s v="tier - 2"/>
    <x v="3"/>
    <n v="56"/>
  </r>
  <r>
    <x v="123"/>
    <x v="122"/>
    <n v="48"/>
    <n v="10.54"/>
    <x v="0"/>
    <x v="0"/>
    <x v="0"/>
    <n v="0"/>
    <x v="0"/>
    <x v="0"/>
    <x v="0"/>
    <d v="1978-08-05T00:00:00"/>
    <x v="123"/>
    <x v="1"/>
    <s v="tier - 3"/>
    <x v="3"/>
    <n v="44"/>
  </r>
  <r>
    <x v="124"/>
    <x v="123"/>
    <n v="49.13"/>
    <n v="4.54"/>
    <x v="0"/>
    <x v="0"/>
    <x v="0"/>
    <n v="0"/>
    <x v="0"/>
    <x v="0"/>
    <x v="2"/>
    <d v="1982-08-16T00:00:00"/>
    <x v="124"/>
    <x v="1"/>
    <s v="tier - 3"/>
    <x v="3"/>
    <n v="40"/>
  </r>
  <r>
    <x v="125"/>
    <x v="124"/>
    <n v="37.799999999999997"/>
    <n v="6.29"/>
    <x v="0"/>
    <x v="0"/>
    <x v="0"/>
    <n v="1"/>
    <x v="0"/>
    <x v="0"/>
    <x v="1"/>
    <d v="1992-11-30T00:00:00"/>
    <x v="125"/>
    <x v="0"/>
    <s v="tier - 3"/>
    <x v="3"/>
    <n v="30"/>
  </r>
  <r>
    <x v="126"/>
    <x v="125"/>
    <n v="38.299999999999997"/>
    <n v="9.51"/>
    <x v="0"/>
    <x v="0"/>
    <x v="0"/>
    <n v="0"/>
    <x v="0"/>
    <x v="0"/>
    <x v="0"/>
    <d v="1962-07-07T00:00:00"/>
    <x v="126"/>
    <x v="1"/>
    <s v="tier - 1"/>
    <x v="3"/>
    <n v="60"/>
  </r>
  <r>
    <x v="127"/>
    <x v="126"/>
    <n v="32.774999999999999"/>
    <n v="4.72"/>
    <x v="0"/>
    <x v="0"/>
    <x v="0"/>
    <n v="0"/>
    <x v="0"/>
    <x v="0"/>
    <x v="2"/>
    <d v="1982-08-04T00:00:00"/>
    <x v="127"/>
    <x v="0"/>
    <s v="tier - 1"/>
    <x v="4"/>
    <n v="40"/>
  </r>
  <r>
    <x v="128"/>
    <x v="127"/>
    <n v="34.200000000000003"/>
    <n v="5.91"/>
    <x v="1"/>
    <x v="0"/>
    <x v="0"/>
    <n v="0"/>
    <x v="0"/>
    <x v="0"/>
    <x v="1"/>
    <d v="1985-09-20T00:00:00"/>
    <x v="128"/>
    <x v="0"/>
    <s v="tier - 3"/>
    <x v="6"/>
    <n v="37"/>
  </r>
  <r>
    <x v="129"/>
    <x v="128"/>
    <n v="30.2"/>
    <n v="9.58"/>
    <x v="0"/>
    <x v="0"/>
    <x v="0"/>
    <n v="0"/>
    <x v="0"/>
    <x v="0"/>
    <x v="0"/>
    <d v="1978-10-12T00:00:00"/>
    <x v="129"/>
    <x v="0"/>
    <s v="tier - 1"/>
    <x v="3"/>
    <n v="44"/>
  </r>
  <r>
    <x v="130"/>
    <x v="129"/>
    <n v="48.32"/>
    <n v="5.77"/>
    <x v="0"/>
    <x v="0"/>
    <x v="0"/>
    <n v="0"/>
    <x v="0"/>
    <x v="0"/>
    <x v="1"/>
    <d v="1980-09-24T00:00:00"/>
    <x v="130"/>
    <x v="1"/>
    <s v="tier - 3"/>
    <x v="3"/>
    <n v="42"/>
  </r>
  <r>
    <x v="131"/>
    <x v="130"/>
    <n v="44.86"/>
    <n v="4.38"/>
    <x v="1"/>
    <x v="0"/>
    <x v="0"/>
    <n v="0"/>
    <x v="0"/>
    <x v="0"/>
    <x v="2"/>
    <d v="1976-12-15T00:00:00"/>
    <x v="131"/>
    <x v="1"/>
    <s v="tier - 3"/>
    <x v="3"/>
    <n v="46"/>
  </r>
  <r>
    <x v="132"/>
    <x v="131"/>
    <n v="52.15"/>
    <n v="5.65"/>
    <x v="0"/>
    <x v="0"/>
    <x v="0"/>
    <n v="1"/>
    <x v="0"/>
    <x v="0"/>
    <x v="2"/>
    <d v="1987-06-16T00:00:00"/>
    <x v="132"/>
    <x v="1"/>
    <s v="tier - 2"/>
    <x v="3"/>
    <n v="35"/>
  </r>
  <r>
    <x v="133"/>
    <x v="132"/>
    <n v="41.12"/>
    <n v="7.54"/>
    <x v="1"/>
    <x v="0"/>
    <x v="0"/>
    <n v="0"/>
    <x v="0"/>
    <x v="0"/>
    <x v="0"/>
    <d v="1967-07-30T00:00:00"/>
    <x v="133"/>
    <x v="0"/>
    <s v="tier - 2"/>
    <x v="3"/>
    <n v="55"/>
  </r>
  <r>
    <x v="134"/>
    <x v="133"/>
    <n v="38.39"/>
    <n v="5.1100000000000003"/>
    <x v="1"/>
    <x v="0"/>
    <x v="0"/>
    <n v="1"/>
    <x v="0"/>
    <x v="0"/>
    <x v="2"/>
    <d v="1964-06-06T00:00:00"/>
    <x v="134"/>
    <x v="1"/>
    <s v="tier - 2"/>
    <x v="3"/>
    <n v="59"/>
  </r>
  <r>
    <x v="135"/>
    <x v="134"/>
    <n v="46.85"/>
    <n v="4.25"/>
    <x v="0"/>
    <x v="0"/>
    <x v="1"/>
    <n v="1"/>
    <x v="0"/>
    <x v="0"/>
    <x v="2"/>
    <d v="1979-12-03T00:00:00"/>
    <x v="135"/>
    <x v="1"/>
    <s v="tier - 1"/>
    <x v="3"/>
    <n v="43"/>
  </r>
  <r>
    <x v="136"/>
    <x v="135"/>
    <n v="42.24"/>
    <n v="5.55"/>
    <x v="0"/>
    <x v="1"/>
    <x v="0"/>
    <n v="1"/>
    <x v="0"/>
    <x v="0"/>
    <x v="2"/>
    <d v="2004-12-05T00:00:00"/>
    <x v="136"/>
    <x v="1"/>
    <s v="tier - 2"/>
    <x v="0"/>
    <n v="18"/>
  </r>
  <r>
    <x v="137"/>
    <x v="136"/>
    <n v="34.39"/>
    <n v="5.78"/>
    <x v="0"/>
    <x v="0"/>
    <x v="0"/>
    <n v="0"/>
    <x v="0"/>
    <x v="0"/>
    <x v="1"/>
    <d v="1991-11-08T00:00:00"/>
    <x v="137"/>
    <x v="0"/>
    <s v="tier - 2"/>
    <x v="1"/>
    <n v="31"/>
  </r>
  <r>
    <x v="138"/>
    <x v="137"/>
    <n v="42.89"/>
    <n v="5.28"/>
    <x v="1"/>
    <x v="0"/>
    <x v="0"/>
    <n v="0"/>
    <x v="0"/>
    <x v="0"/>
    <x v="2"/>
    <d v="1976-06-15T00:00:00"/>
    <x v="138"/>
    <x v="1"/>
    <s v="tier - 2"/>
    <x v="1"/>
    <n v="46"/>
  </r>
  <r>
    <x v="139"/>
    <x v="138"/>
    <n v="36.299999999999997"/>
    <n v="5.39"/>
    <x v="0"/>
    <x v="0"/>
    <x v="0"/>
    <n v="0"/>
    <x v="0"/>
    <x v="0"/>
    <x v="2"/>
    <d v="1991-11-22T00:00:00"/>
    <x v="139"/>
    <x v="0"/>
    <s v="tier - 3"/>
    <x v="3"/>
    <n v="31"/>
  </r>
  <r>
    <x v="140"/>
    <x v="139"/>
    <n v="35.200000000000003"/>
    <n v="8.01"/>
    <x v="1"/>
    <x v="0"/>
    <x v="0"/>
    <n v="1"/>
    <x v="0"/>
    <x v="0"/>
    <x v="0"/>
    <d v="1991-11-02T00:00:00"/>
    <x v="139"/>
    <x v="1"/>
    <s v="tier - 2"/>
    <x v="3"/>
    <n v="31"/>
  </r>
  <r>
    <x v="141"/>
    <x v="140"/>
    <n v="53.62"/>
    <n v="5.21"/>
    <x v="0"/>
    <x v="0"/>
    <x v="0"/>
    <n v="0"/>
    <x v="0"/>
    <x v="0"/>
    <x v="2"/>
    <d v="1986-07-20T00:00:00"/>
    <x v="140"/>
    <x v="0"/>
    <s v="tier - 3"/>
    <x v="0"/>
    <n v="36"/>
  </r>
  <r>
    <x v="142"/>
    <x v="141"/>
    <n v="36.67"/>
    <n v="6.27"/>
    <x v="0"/>
    <x v="0"/>
    <x v="0"/>
    <n v="0"/>
    <x v="0"/>
    <x v="0"/>
    <x v="1"/>
    <d v="1990-07-13T00:00:00"/>
    <x v="141"/>
    <x v="1"/>
    <s v="tier - 2"/>
    <x v="3"/>
    <n v="32"/>
  </r>
  <r>
    <x v="143"/>
    <x v="142"/>
    <n v="33.4"/>
    <n v="10.73"/>
    <x v="1"/>
    <x v="0"/>
    <x v="0"/>
    <n v="1"/>
    <x v="0"/>
    <x v="0"/>
    <x v="0"/>
    <d v="1999-11-12T00:00:00"/>
    <x v="142"/>
    <x v="1"/>
    <s v="tier - 2"/>
    <x v="2"/>
    <n v="23"/>
  </r>
  <r>
    <x v="144"/>
    <x v="143"/>
    <n v="42.71"/>
    <n v="10.52"/>
    <x v="0"/>
    <x v="0"/>
    <x v="0"/>
    <n v="0"/>
    <x v="0"/>
    <x v="0"/>
    <x v="0"/>
    <d v="1986-06-21T00:00:00"/>
    <x v="143"/>
    <x v="0"/>
    <s v="tier - 2"/>
    <x v="3"/>
    <n v="36"/>
  </r>
  <r>
    <x v="145"/>
    <x v="144"/>
    <n v="41.52"/>
    <n v="11.82"/>
    <x v="1"/>
    <x v="0"/>
    <x v="0"/>
    <n v="2"/>
    <x v="0"/>
    <x v="0"/>
    <x v="0"/>
    <d v="1971-12-23T00:00:00"/>
    <x v="144"/>
    <x v="1"/>
    <s v="tier - 1"/>
    <x v="3"/>
    <n v="51"/>
  </r>
  <r>
    <x v="146"/>
    <x v="79"/>
    <n v="39.4"/>
    <n v="6.76"/>
    <x v="0"/>
    <x v="0"/>
    <x v="0"/>
    <n v="0"/>
    <x v="0"/>
    <x v="0"/>
    <x v="0"/>
    <d v="1970-08-22T00:00:00"/>
    <x v="145"/>
    <x v="1"/>
    <s v="tier - 3"/>
    <x v="3"/>
    <n v="52"/>
  </r>
  <r>
    <x v="147"/>
    <x v="145"/>
    <n v="46.45"/>
    <n v="5.62"/>
    <x v="0"/>
    <x v="0"/>
    <x v="0"/>
    <n v="0"/>
    <x v="0"/>
    <x v="0"/>
    <x v="2"/>
    <d v="2002-09-17T00:00:00"/>
    <x v="146"/>
    <x v="0"/>
    <s v="tier - 3"/>
    <x v="3"/>
    <n v="20"/>
  </r>
  <r>
    <x v="148"/>
    <x v="146"/>
    <n v="35.75"/>
    <n v="4.1900000000000004"/>
    <x v="0"/>
    <x v="0"/>
    <x v="0"/>
    <n v="0"/>
    <x v="0"/>
    <x v="0"/>
    <x v="2"/>
    <d v="1980-06-12T00:00:00"/>
    <x v="147"/>
    <x v="0"/>
    <s v="tier - 3"/>
    <x v="3"/>
    <n v="42"/>
  </r>
  <r>
    <x v="149"/>
    <x v="147"/>
    <n v="26.07"/>
    <n v="5.32"/>
    <x v="0"/>
    <x v="0"/>
    <x v="0"/>
    <n v="0"/>
    <x v="0"/>
    <x v="1"/>
    <x v="2"/>
    <d v="1989-10-30T00:00:00"/>
    <x v="148"/>
    <x v="0"/>
    <s v="tier - 2"/>
    <x v="0"/>
    <n v="33"/>
  </r>
  <r>
    <x v="150"/>
    <x v="148"/>
    <n v="36.54"/>
    <n v="4.46"/>
    <x v="1"/>
    <x v="0"/>
    <x v="0"/>
    <n v="1"/>
    <x v="0"/>
    <x v="0"/>
    <x v="2"/>
    <d v="1980-08-16T00:00:00"/>
    <x v="149"/>
    <x v="0"/>
    <s v="tier - 2"/>
    <x v="0"/>
    <n v="42"/>
  </r>
  <r>
    <x v="151"/>
    <x v="149"/>
    <n v="51.64"/>
    <n v="5.65"/>
    <x v="0"/>
    <x v="0"/>
    <x v="0"/>
    <n v="0"/>
    <x v="0"/>
    <x v="0"/>
    <x v="2"/>
    <d v="1964-06-16T00:00:00"/>
    <x v="150"/>
    <x v="1"/>
    <s v="tier - 3"/>
    <x v="3"/>
    <n v="58"/>
  </r>
  <r>
    <x v="152"/>
    <x v="150"/>
    <n v="42.83"/>
    <n v="6.04"/>
    <x v="0"/>
    <x v="0"/>
    <x v="0"/>
    <n v="2"/>
    <x v="0"/>
    <x v="0"/>
    <x v="1"/>
    <d v="1989-09-08T00:00:00"/>
    <x v="151"/>
    <x v="1"/>
    <s v="tier - 3"/>
    <x v="3"/>
    <n v="33"/>
  </r>
  <r>
    <x v="153"/>
    <x v="151"/>
    <n v="40.15"/>
    <n v="5.76"/>
    <x v="0"/>
    <x v="0"/>
    <x v="0"/>
    <n v="1"/>
    <x v="0"/>
    <x v="0"/>
    <x v="1"/>
    <d v="1972-11-19T00:00:00"/>
    <x v="152"/>
    <x v="1"/>
    <s v="tier - 2"/>
    <x v="3"/>
    <n v="50"/>
  </r>
  <r>
    <x v="154"/>
    <x v="152"/>
    <n v="27.8"/>
    <n v="4.3600000000000003"/>
    <x v="0"/>
    <x v="0"/>
    <x v="1"/>
    <n v="1"/>
    <x v="0"/>
    <x v="1"/>
    <x v="2"/>
    <d v="1998-07-29T00:00:00"/>
    <x v="153"/>
    <x v="0"/>
    <s v="tier - 3"/>
    <x v="0"/>
    <n v="24"/>
  </r>
  <r>
    <x v="155"/>
    <x v="153"/>
    <n v="45.81"/>
    <n v="4.76"/>
    <x v="1"/>
    <x v="0"/>
    <x v="1"/>
    <n v="1"/>
    <x v="0"/>
    <x v="0"/>
    <x v="2"/>
    <d v="1979-09-09T00:00:00"/>
    <x v="154"/>
    <x v="0"/>
    <s v="tier - 2"/>
    <x v="3"/>
    <n v="43"/>
  </r>
  <r>
    <x v="156"/>
    <x v="154"/>
    <n v="34.43"/>
    <n v="10.82"/>
    <x v="1"/>
    <x v="0"/>
    <x v="0"/>
    <n v="1"/>
    <x v="0"/>
    <x v="0"/>
    <x v="0"/>
    <d v="1983-07-26T00:00:00"/>
    <x v="155"/>
    <x v="1"/>
    <s v="tier - 2"/>
    <x v="3"/>
    <n v="39"/>
  </r>
  <r>
    <x v="157"/>
    <x v="155"/>
    <n v="41.33"/>
    <n v="4.01"/>
    <x v="1"/>
    <x v="0"/>
    <x v="0"/>
    <n v="0"/>
    <x v="0"/>
    <x v="0"/>
    <x v="2"/>
    <d v="1986-08-15T00:00:00"/>
    <x v="156"/>
    <x v="0"/>
    <s v="tier - 1"/>
    <x v="0"/>
    <n v="36"/>
  </r>
  <r>
    <x v="158"/>
    <x v="156"/>
    <n v="31.92"/>
    <n v="5.12"/>
    <x v="1"/>
    <x v="0"/>
    <x v="0"/>
    <n v="1"/>
    <x v="0"/>
    <x v="0"/>
    <x v="2"/>
    <d v="1976-09-18T00:00:00"/>
    <x v="157"/>
    <x v="1"/>
    <s v="tier - 2"/>
    <x v="3"/>
    <n v="46"/>
  </r>
  <r>
    <x v="159"/>
    <x v="157"/>
    <n v="39.799999999999997"/>
    <n v="10.54"/>
    <x v="1"/>
    <x v="0"/>
    <x v="0"/>
    <n v="2"/>
    <x v="0"/>
    <x v="0"/>
    <x v="0"/>
    <d v="1988-10-10T00:00:00"/>
    <x v="158"/>
    <x v="1"/>
    <s v="tier - 3"/>
    <x v="8"/>
    <n v="34"/>
  </r>
  <r>
    <x v="160"/>
    <x v="158"/>
    <n v="42.82"/>
    <n v="4.21"/>
    <x v="0"/>
    <x v="0"/>
    <x v="0"/>
    <n v="0"/>
    <x v="0"/>
    <x v="0"/>
    <x v="2"/>
    <d v="1970-10-28T00:00:00"/>
    <x v="159"/>
    <x v="1"/>
    <s v="tier - 3"/>
    <x v="3"/>
    <n v="52"/>
  </r>
  <r>
    <x v="161"/>
    <x v="159"/>
    <n v="33.630000000000003"/>
    <n v="5.42"/>
    <x v="0"/>
    <x v="0"/>
    <x v="0"/>
    <n v="0"/>
    <x v="0"/>
    <x v="0"/>
    <x v="2"/>
    <d v="1982-06-20T00:00:00"/>
    <x v="160"/>
    <x v="1"/>
    <s v="tier - 2"/>
    <x v="1"/>
    <n v="40"/>
  </r>
  <r>
    <x v="162"/>
    <x v="160"/>
    <n v="37.07"/>
    <n v="4.28"/>
    <x v="0"/>
    <x v="1"/>
    <x v="0"/>
    <n v="1"/>
    <x v="0"/>
    <x v="0"/>
    <x v="2"/>
    <d v="1990-11-16T00:00:00"/>
    <x v="161"/>
    <x v="0"/>
    <s v="tier - 2"/>
    <x v="9"/>
    <n v="32"/>
  </r>
  <r>
    <x v="163"/>
    <x v="161"/>
    <n v="35.625"/>
    <n v="8.9"/>
    <x v="0"/>
    <x v="0"/>
    <x v="0"/>
    <n v="0"/>
    <x v="0"/>
    <x v="0"/>
    <x v="0"/>
    <d v="2000-10-12T00:00:00"/>
    <x v="162"/>
    <x v="0"/>
    <s v="tier - 1"/>
    <x v="0"/>
    <n v="22"/>
  </r>
  <r>
    <x v="164"/>
    <x v="162"/>
    <n v="42.69"/>
    <n v="4.8899999999999997"/>
    <x v="0"/>
    <x v="0"/>
    <x v="1"/>
    <n v="1"/>
    <x v="0"/>
    <x v="0"/>
    <x v="2"/>
    <d v="2002-09-27T00:00:00"/>
    <x v="163"/>
    <x v="0"/>
    <s v="tier - 2"/>
    <x v="1"/>
    <n v="20"/>
  </r>
  <r>
    <x v="165"/>
    <x v="163"/>
    <n v="37.869999999999997"/>
    <n v="4.29"/>
    <x v="1"/>
    <x v="0"/>
    <x v="1"/>
    <n v="1"/>
    <x v="0"/>
    <x v="0"/>
    <x v="2"/>
    <d v="1979-08-03T00:00:00"/>
    <x v="164"/>
    <x v="1"/>
    <s v="tier - 1"/>
    <x v="3"/>
    <n v="43"/>
  </r>
  <r>
    <x v="166"/>
    <x v="164"/>
    <n v="40.61"/>
    <n v="8"/>
    <x v="1"/>
    <x v="0"/>
    <x v="0"/>
    <n v="1"/>
    <x v="0"/>
    <x v="0"/>
    <x v="0"/>
    <d v="1969-10-30T00:00:00"/>
    <x v="165"/>
    <x v="0"/>
    <s v="tier - 3"/>
    <x v="3"/>
    <n v="53"/>
  </r>
  <r>
    <x v="167"/>
    <x v="165"/>
    <n v="30.78"/>
    <n v="4.67"/>
    <x v="1"/>
    <x v="0"/>
    <x v="0"/>
    <n v="0"/>
    <x v="0"/>
    <x v="0"/>
    <x v="2"/>
    <d v="1975-11-09T00:00:00"/>
    <x v="166"/>
    <x v="1"/>
    <s v="tier - 3"/>
    <x v="3"/>
    <n v="47"/>
  </r>
  <r>
    <x v="168"/>
    <x v="166"/>
    <n v="49.49"/>
    <n v="4.5"/>
    <x v="0"/>
    <x v="0"/>
    <x v="0"/>
    <n v="0"/>
    <x v="0"/>
    <x v="0"/>
    <x v="2"/>
    <d v="1985-11-17T00:00:00"/>
    <x v="167"/>
    <x v="1"/>
    <s v="tier - 1"/>
    <x v="2"/>
    <n v="37"/>
  </r>
  <r>
    <x v="169"/>
    <x v="167"/>
    <n v="37.619999999999997"/>
    <n v="6.32"/>
    <x v="1"/>
    <x v="1"/>
    <x v="0"/>
    <n v="2"/>
    <x v="0"/>
    <x v="0"/>
    <x v="1"/>
    <d v="1990-10-17T00:00:00"/>
    <x v="168"/>
    <x v="1"/>
    <s v="tier - 2"/>
    <x v="3"/>
    <n v="32"/>
  </r>
  <r>
    <x v="170"/>
    <x v="168"/>
    <n v="36.08"/>
    <n v="6.1"/>
    <x v="1"/>
    <x v="0"/>
    <x v="0"/>
    <n v="1"/>
    <x v="0"/>
    <x v="0"/>
    <x v="1"/>
    <d v="2000-09-05T00:00:00"/>
    <x v="169"/>
    <x v="0"/>
    <s v="tier - 3"/>
    <x v="10"/>
    <n v="22"/>
  </r>
  <r>
    <x v="171"/>
    <x v="169"/>
    <n v="33.5"/>
    <n v="5.4"/>
    <x v="0"/>
    <x v="0"/>
    <x v="0"/>
    <n v="0"/>
    <x v="0"/>
    <x v="0"/>
    <x v="2"/>
    <d v="1995-10-30T00:00:00"/>
    <x v="170"/>
    <x v="1"/>
    <s v="tier - 2"/>
    <x v="0"/>
    <n v="27"/>
  </r>
  <r>
    <x v="172"/>
    <x v="170"/>
    <n v="47.46"/>
    <n v="6.24"/>
    <x v="1"/>
    <x v="0"/>
    <x v="0"/>
    <n v="1"/>
    <x v="0"/>
    <x v="0"/>
    <x v="1"/>
    <d v="1989-06-10T00:00:00"/>
    <x v="171"/>
    <x v="1"/>
    <s v="tier - 3"/>
    <x v="3"/>
    <n v="33"/>
  </r>
  <r>
    <x v="173"/>
    <x v="171"/>
    <n v="49.24"/>
    <n v="4.45"/>
    <x v="0"/>
    <x v="0"/>
    <x v="0"/>
    <n v="0"/>
    <x v="0"/>
    <x v="0"/>
    <x v="2"/>
    <d v="1988-12-17T00:00:00"/>
    <x v="172"/>
    <x v="1"/>
    <s v="tier - 1"/>
    <x v="3"/>
    <n v="34"/>
  </r>
  <r>
    <x v="174"/>
    <x v="172"/>
    <n v="54.4"/>
    <n v="5.22"/>
    <x v="0"/>
    <x v="0"/>
    <x v="0"/>
    <n v="1"/>
    <x v="0"/>
    <x v="0"/>
    <x v="2"/>
    <d v="1991-11-01T00:00:00"/>
    <x v="173"/>
    <x v="1"/>
    <s v="tier - 2"/>
    <x v="3"/>
    <n v="31"/>
  </r>
  <r>
    <x v="175"/>
    <x v="173"/>
    <n v="35.53"/>
    <n v="4.6100000000000003"/>
    <x v="0"/>
    <x v="0"/>
    <x v="0"/>
    <n v="1"/>
    <x v="0"/>
    <x v="0"/>
    <x v="2"/>
    <d v="1992-09-13T00:00:00"/>
    <x v="174"/>
    <x v="1"/>
    <s v="tier - 3"/>
    <x v="3"/>
    <n v="30"/>
  </r>
  <r>
    <x v="176"/>
    <x v="174"/>
    <n v="39.729999999999997"/>
    <n v="6.24"/>
    <x v="0"/>
    <x v="0"/>
    <x v="0"/>
    <n v="0"/>
    <x v="0"/>
    <x v="0"/>
    <x v="1"/>
    <d v="1992-08-25T00:00:00"/>
    <x v="175"/>
    <x v="0"/>
    <s v="tier - 1"/>
    <x v="0"/>
    <n v="30"/>
  </r>
  <r>
    <x v="177"/>
    <x v="175"/>
    <n v="35.68"/>
    <n v="10.039999999999999"/>
    <x v="0"/>
    <x v="0"/>
    <x v="0"/>
    <n v="0"/>
    <x v="0"/>
    <x v="0"/>
    <x v="0"/>
    <d v="1977-08-13T00:00:00"/>
    <x v="176"/>
    <x v="1"/>
    <s v="tier - 1"/>
    <x v="3"/>
    <n v="45"/>
  </r>
  <r>
    <x v="178"/>
    <x v="176"/>
    <n v="48.86"/>
    <n v="6.09"/>
    <x v="0"/>
    <x v="0"/>
    <x v="0"/>
    <n v="0"/>
    <x v="0"/>
    <x v="0"/>
    <x v="1"/>
    <d v="1968-10-22T00:00:00"/>
    <x v="177"/>
    <x v="1"/>
    <s v="tier - 1"/>
    <x v="3"/>
    <n v="54"/>
  </r>
  <r>
    <x v="179"/>
    <x v="177"/>
    <n v="34.799999999999997"/>
    <n v="11.4"/>
    <x v="1"/>
    <x v="0"/>
    <x v="1"/>
    <n v="1"/>
    <x v="1"/>
    <x v="0"/>
    <x v="0"/>
    <d v="1991-06-10T00:00:00"/>
    <x v="178"/>
    <x v="1"/>
    <s v="tier - 2"/>
    <x v="3"/>
    <n v="31"/>
  </r>
  <r>
    <x v="180"/>
    <x v="178"/>
    <n v="32.49"/>
    <n v="4.29"/>
    <x v="0"/>
    <x v="0"/>
    <x v="1"/>
    <n v="1"/>
    <x v="0"/>
    <x v="0"/>
    <x v="2"/>
    <d v="1963-07-24T00:00:00"/>
    <x v="179"/>
    <x v="1"/>
    <s v="tier - 2"/>
    <x v="3"/>
    <n v="59"/>
  </r>
  <r>
    <x v="181"/>
    <x v="179"/>
    <n v="39"/>
    <n v="5.7"/>
    <x v="0"/>
    <x v="0"/>
    <x v="0"/>
    <n v="2"/>
    <x v="0"/>
    <x v="0"/>
    <x v="1"/>
    <d v="2003-06-21T00:00:00"/>
    <x v="180"/>
    <x v="1"/>
    <s v="tier - 1"/>
    <x v="1"/>
    <n v="19"/>
  </r>
  <r>
    <x v="182"/>
    <x v="180"/>
    <n v="35.299999999999997"/>
    <n v="6.09"/>
    <x v="0"/>
    <x v="0"/>
    <x v="0"/>
    <n v="1"/>
    <x v="0"/>
    <x v="0"/>
    <x v="1"/>
    <d v="1972-12-05T00:00:00"/>
    <x v="181"/>
    <x v="0"/>
    <s v="tier - 3"/>
    <x v="3"/>
    <n v="50"/>
  </r>
  <r>
    <x v="183"/>
    <x v="181"/>
    <n v="33.42"/>
    <n v="10.67"/>
    <x v="0"/>
    <x v="0"/>
    <x v="0"/>
    <n v="0"/>
    <x v="0"/>
    <x v="0"/>
    <x v="0"/>
    <d v="1991-11-22T00:00:00"/>
    <x v="139"/>
    <x v="0"/>
    <s v="tier - 3"/>
    <x v="3"/>
    <n v="31"/>
  </r>
  <r>
    <x v="184"/>
    <x v="182"/>
    <n v="37.18"/>
    <n v="6.75"/>
    <x v="1"/>
    <x v="0"/>
    <x v="0"/>
    <n v="2"/>
    <x v="0"/>
    <x v="0"/>
    <x v="0"/>
    <d v="1992-07-04T00:00:00"/>
    <x v="182"/>
    <x v="1"/>
    <s v="tier - 3"/>
    <x v="3"/>
    <n v="30"/>
  </r>
  <r>
    <x v="185"/>
    <x v="183"/>
    <n v="33.33"/>
    <n v="9.26"/>
    <x v="1"/>
    <x v="0"/>
    <x v="0"/>
    <n v="2"/>
    <x v="1"/>
    <x v="0"/>
    <x v="0"/>
    <d v="1965-12-28T00:00:00"/>
    <x v="183"/>
    <x v="1"/>
    <s v="tier - 1"/>
    <x v="3"/>
    <n v="57"/>
  </r>
  <r>
    <x v="186"/>
    <x v="184"/>
    <n v="53.21"/>
    <n v="4.2699999999999996"/>
    <x v="0"/>
    <x v="0"/>
    <x v="0"/>
    <n v="1"/>
    <x v="0"/>
    <x v="0"/>
    <x v="2"/>
    <d v="1970-07-14T00:00:00"/>
    <x v="184"/>
    <x v="0"/>
    <s v="tier - 1"/>
    <x v="3"/>
    <n v="52"/>
  </r>
  <r>
    <x v="187"/>
    <x v="185"/>
    <n v="38.729999999999997"/>
    <n v="11.51"/>
    <x v="0"/>
    <x v="0"/>
    <x v="0"/>
    <n v="2"/>
    <x v="0"/>
    <x v="0"/>
    <x v="0"/>
    <d v="1961-07-29T00:00:00"/>
    <x v="185"/>
    <x v="1"/>
    <s v="tier - 2"/>
    <x v="0"/>
    <n v="61"/>
  </r>
  <r>
    <x v="188"/>
    <x v="186"/>
    <n v="29.73"/>
    <n v="7.22"/>
    <x v="0"/>
    <x v="0"/>
    <x v="0"/>
    <n v="0"/>
    <x v="0"/>
    <x v="1"/>
    <x v="0"/>
    <d v="1992-10-09T00:00:00"/>
    <x v="186"/>
    <x v="0"/>
    <s v="tier - 2"/>
    <x v="3"/>
    <n v="30"/>
  </r>
  <r>
    <x v="189"/>
    <x v="187"/>
    <n v="34.700000000000003"/>
    <n v="4.37"/>
    <x v="0"/>
    <x v="0"/>
    <x v="1"/>
    <n v="1"/>
    <x v="0"/>
    <x v="0"/>
    <x v="2"/>
    <d v="1973-08-09T00:00:00"/>
    <x v="187"/>
    <x v="1"/>
    <s v="tier - 3"/>
    <x v="3"/>
    <n v="49"/>
  </r>
  <r>
    <x v="190"/>
    <x v="188"/>
    <n v="38.28"/>
    <n v="11.56"/>
    <x v="1"/>
    <x v="0"/>
    <x v="0"/>
    <n v="1"/>
    <x v="0"/>
    <x v="0"/>
    <x v="0"/>
    <d v="1962-11-19T00:00:00"/>
    <x v="188"/>
    <x v="1"/>
    <s v="tier - 2"/>
    <x v="3"/>
    <n v="60"/>
  </r>
  <r>
    <x v="191"/>
    <x v="189"/>
    <n v="33.57"/>
    <n v="8.82"/>
    <x v="1"/>
    <x v="0"/>
    <x v="0"/>
    <n v="0"/>
    <x v="0"/>
    <x v="0"/>
    <x v="0"/>
    <d v="2003-12-09T00:00:00"/>
    <x v="189"/>
    <x v="1"/>
    <s v="tier - 3"/>
    <x v="3"/>
    <n v="19"/>
  </r>
  <r>
    <x v="192"/>
    <x v="190"/>
    <n v="52.06"/>
    <n v="4.6900000000000004"/>
    <x v="0"/>
    <x v="0"/>
    <x v="0"/>
    <n v="1"/>
    <x v="0"/>
    <x v="0"/>
    <x v="2"/>
    <d v="1975-06-05T00:00:00"/>
    <x v="190"/>
    <x v="0"/>
    <s v="tier - 2"/>
    <x v="3"/>
    <n v="48"/>
  </r>
  <r>
    <x v="193"/>
    <x v="191"/>
    <n v="38.17"/>
    <n v="4.53"/>
    <x v="0"/>
    <x v="1"/>
    <x v="0"/>
    <n v="1"/>
    <x v="0"/>
    <x v="0"/>
    <x v="2"/>
    <d v="1967-10-18T00:00:00"/>
    <x v="191"/>
    <x v="0"/>
    <s v="tier - 3"/>
    <x v="3"/>
    <n v="55"/>
  </r>
  <r>
    <x v="194"/>
    <x v="192"/>
    <n v="36.954999999999998"/>
    <n v="5.84"/>
    <x v="0"/>
    <x v="0"/>
    <x v="1"/>
    <n v="1"/>
    <x v="0"/>
    <x v="0"/>
    <x v="1"/>
    <d v="1992-06-16T00:00:00"/>
    <x v="192"/>
    <x v="1"/>
    <s v="tier - 2"/>
    <x v="3"/>
    <n v="30"/>
  </r>
  <r>
    <x v="195"/>
    <x v="193"/>
    <n v="34.4"/>
    <n v="4.9000000000000004"/>
    <x v="0"/>
    <x v="0"/>
    <x v="1"/>
    <n v="1"/>
    <x v="0"/>
    <x v="0"/>
    <x v="2"/>
    <d v="2004-12-25T00:00:00"/>
    <x v="193"/>
    <x v="0"/>
    <s v="tier - 2"/>
    <x v="0"/>
    <n v="18"/>
  </r>
  <r>
    <x v="196"/>
    <x v="194"/>
    <n v="31.73"/>
    <n v="4.3"/>
    <x v="0"/>
    <x v="0"/>
    <x v="0"/>
    <n v="0"/>
    <x v="0"/>
    <x v="0"/>
    <x v="2"/>
    <d v="2003-09-05T00:00:00"/>
    <x v="194"/>
    <x v="0"/>
    <s v="tier - 1"/>
    <x v="1"/>
    <n v="19"/>
  </r>
  <r>
    <x v="197"/>
    <x v="195"/>
    <n v="36.64"/>
    <n v="11.34"/>
    <x v="0"/>
    <x v="0"/>
    <x v="0"/>
    <n v="0"/>
    <x v="0"/>
    <x v="0"/>
    <x v="0"/>
    <d v="1993-12-28T00:00:00"/>
    <x v="195"/>
    <x v="0"/>
    <s v="tier - 3"/>
    <x v="3"/>
    <n v="29"/>
  </r>
  <r>
    <x v="198"/>
    <x v="196"/>
    <n v="36.85"/>
    <n v="5.88"/>
    <x v="0"/>
    <x v="1"/>
    <x v="0"/>
    <n v="1"/>
    <x v="0"/>
    <x v="0"/>
    <x v="1"/>
    <d v="1999-10-01T00:00:00"/>
    <x v="196"/>
    <x v="0"/>
    <s v="tier - 3"/>
    <x v="4"/>
    <n v="23"/>
  </r>
  <r>
    <x v="199"/>
    <x v="197"/>
    <n v="33.33"/>
    <n v="5.01"/>
    <x v="1"/>
    <x v="0"/>
    <x v="1"/>
    <n v="1"/>
    <x v="0"/>
    <x v="0"/>
    <x v="2"/>
    <d v="1974-12-06T00:00:00"/>
    <x v="197"/>
    <x v="1"/>
    <s v="tier - 3"/>
    <x v="1"/>
    <n v="48"/>
  </r>
  <r>
    <x v="200"/>
    <x v="198"/>
    <n v="39.14"/>
    <n v="4.4000000000000004"/>
    <x v="0"/>
    <x v="0"/>
    <x v="1"/>
    <n v="1"/>
    <x v="0"/>
    <x v="0"/>
    <x v="2"/>
    <d v="2004-08-30T00:00:00"/>
    <x v="198"/>
    <x v="1"/>
    <s v="tier - 2"/>
    <x v="0"/>
    <n v="18"/>
  </r>
  <r>
    <x v="201"/>
    <x v="199"/>
    <n v="32.9"/>
    <n v="6.26"/>
    <x v="1"/>
    <x v="0"/>
    <x v="0"/>
    <n v="0"/>
    <x v="0"/>
    <x v="0"/>
    <x v="1"/>
    <d v="1997-06-12T00:00:00"/>
    <x v="199"/>
    <x v="0"/>
    <s v="tier - 3"/>
    <x v="0"/>
    <n v="25"/>
  </r>
  <r>
    <x v="202"/>
    <x v="200"/>
    <n v="29.78"/>
    <n v="10.27"/>
    <x v="1"/>
    <x v="0"/>
    <x v="1"/>
    <n v="1"/>
    <x v="0"/>
    <x v="1"/>
    <x v="0"/>
    <d v="1979-11-04T00:00:00"/>
    <x v="200"/>
    <x v="1"/>
    <s v="tier - 2"/>
    <x v="3"/>
    <n v="43"/>
  </r>
  <r>
    <x v="203"/>
    <x v="201"/>
    <n v="32.78"/>
    <n v="5.27"/>
    <x v="0"/>
    <x v="0"/>
    <x v="0"/>
    <n v="0"/>
    <x v="0"/>
    <x v="0"/>
    <x v="2"/>
    <d v="1996-08-20T00:00:00"/>
    <x v="201"/>
    <x v="0"/>
    <s v="tier - 1"/>
    <x v="3"/>
    <n v="26"/>
  </r>
  <r>
    <x v="204"/>
    <x v="202"/>
    <n v="41.65"/>
    <n v="10.73"/>
    <x v="1"/>
    <x v="0"/>
    <x v="0"/>
    <n v="0"/>
    <x v="0"/>
    <x v="0"/>
    <x v="0"/>
    <d v="1963-07-22T00:00:00"/>
    <x v="202"/>
    <x v="1"/>
    <s v="tier - 1"/>
    <x v="3"/>
    <n v="59"/>
  </r>
  <r>
    <x v="205"/>
    <x v="203"/>
    <n v="50.79"/>
    <n v="4.45"/>
    <x v="0"/>
    <x v="0"/>
    <x v="0"/>
    <n v="1"/>
    <x v="0"/>
    <x v="0"/>
    <x v="2"/>
    <d v="1999-09-04T00:00:00"/>
    <x v="203"/>
    <x v="1"/>
    <s v="tier - 3"/>
    <x v="0"/>
    <n v="23"/>
  </r>
  <r>
    <x v="206"/>
    <x v="204"/>
    <n v="35.43"/>
    <n v="5.25"/>
    <x v="1"/>
    <x v="0"/>
    <x v="0"/>
    <n v="0"/>
    <x v="0"/>
    <x v="0"/>
    <x v="2"/>
    <d v="1981-11-22T00:00:00"/>
    <x v="204"/>
    <x v="0"/>
    <s v="tier - 3"/>
    <x v="3"/>
    <n v="41"/>
  </r>
  <r>
    <x v="207"/>
    <x v="205"/>
    <n v="35.25"/>
    <n v="9.51"/>
    <x v="0"/>
    <x v="0"/>
    <x v="0"/>
    <n v="0"/>
    <x v="0"/>
    <x v="0"/>
    <x v="0"/>
    <d v="1992-06-18T00:00:00"/>
    <x v="205"/>
    <x v="1"/>
    <s v="tier - 1"/>
    <x v="3"/>
    <n v="30"/>
  </r>
  <r>
    <x v="208"/>
    <x v="206"/>
    <n v="36.85"/>
    <n v="11.12"/>
    <x v="0"/>
    <x v="0"/>
    <x v="0"/>
    <n v="0"/>
    <x v="0"/>
    <x v="0"/>
    <x v="0"/>
    <d v="1976-10-04T00:00:00"/>
    <x v="206"/>
    <x v="1"/>
    <s v="tier - 2"/>
    <x v="3"/>
    <n v="46"/>
  </r>
  <r>
    <x v="209"/>
    <x v="207"/>
    <n v="31.02"/>
    <n v="4.5599999999999996"/>
    <x v="0"/>
    <x v="1"/>
    <x v="0"/>
    <n v="1"/>
    <x v="0"/>
    <x v="0"/>
    <x v="2"/>
    <d v="1974-07-15T00:00:00"/>
    <x v="207"/>
    <x v="1"/>
    <s v="tier - 3"/>
    <x v="1"/>
    <n v="48"/>
  </r>
  <r>
    <x v="210"/>
    <x v="208"/>
    <n v="35.6"/>
    <n v="4.0199999999999996"/>
    <x v="1"/>
    <x v="1"/>
    <x v="0"/>
    <n v="2"/>
    <x v="0"/>
    <x v="0"/>
    <x v="2"/>
    <d v="1978-12-19T00:00:00"/>
    <x v="208"/>
    <x v="1"/>
    <s v="tier - 1"/>
    <x v="3"/>
    <n v="44"/>
  </r>
  <r>
    <x v="211"/>
    <x v="209"/>
    <n v="34.39"/>
    <n v="8.7200000000000006"/>
    <x v="0"/>
    <x v="0"/>
    <x v="0"/>
    <n v="0"/>
    <x v="0"/>
    <x v="0"/>
    <x v="0"/>
    <d v="2000-12-17T00:00:00"/>
    <x v="209"/>
    <x v="1"/>
    <s v="tier - 3"/>
    <x v="0"/>
    <n v="22"/>
  </r>
  <r>
    <x v="212"/>
    <x v="210"/>
    <n v="29.06"/>
    <n v="6.25"/>
    <x v="1"/>
    <x v="0"/>
    <x v="0"/>
    <n v="1"/>
    <x v="0"/>
    <x v="1"/>
    <x v="1"/>
    <d v="1991-11-22T00:00:00"/>
    <x v="139"/>
    <x v="0"/>
    <s v="tier - 3"/>
    <x v="3"/>
    <n v="31"/>
  </r>
  <r>
    <x v="213"/>
    <x v="211"/>
    <n v="35.799999999999997"/>
    <n v="7.32"/>
    <x v="0"/>
    <x v="0"/>
    <x v="0"/>
    <n v="2"/>
    <x v="0"/>
    <x v="0"/>
    <x v="0"/>
    <d v="2000-11-19T00:00:00"/>
    <x v="210"/>
    <x v="1"/>
    <s v="tier - 3"/>
    <x v="3"/>
    <n v="22"/>
  </r>
  <r>
    <x v="214"/>
    <x v="212"/>
    <n v="49.8"/>
    <n v="4.24"/>
    <x v="0"/>
    <x v="0"/>
    <x v="0"/>
    <n v="1"/>
    <x v="0"/>
    <x v="0"/>
    <x v="2"/>
    <d v="1971-08-10T00:00:00"/>
    <x v="211"/>
    <x v="0"/>
    <s v="tier - 3"/>
    <x v="3"/>
    <n v="51"/>
  </r>
  <r>
    <x v="215"/>
    <x v="213"/>
    <n v="35.71"/>
    <n v="6.84"/>
    <x v="0"/>
    <x v="0"/>
    <x v="0"/>
    <n v="2"/>
    <x v="0"/>
    <x v="0"/>
    <x v="0"/>
    <d v="1964-08-29T00:00:00"/>
    <x v="212"/>
    <x v="1"/>
    <s v="tier - 1"/>
    <x v="3"/>
    <n v="58"/>
  </r>
  <r>
    <x v="216"/>
    <x v="214"/>
    <n v="30.8"/>
    <n v="5.23"/>
    <x v="1"/>
    <x v="0"/>
    <x v="0"/>
    <n v="1"/>
    <x v="0"/>
    <x v="0"/>
    <x v="2"/>
    <d v="1973-10-27T00:00:00"/>
    <x v="213"/>
    <x v="0"/>
    <s v="tier - 1"/>
    <x v="3"/>
    <n v="49"/>
  </r>
  <r>
    <x v="217"/>
    <x v="215"/>
    <n v="33.69"/>
    <n v="9.68"/>
    <x v="0"/>
    <x v="0"/>
    <x v="0"/>
    <n v="0"/>
    <x v="0"/>
    <x v="0"/>
    <x v="0"/>
    <d v="1992-09-13T00:00:00"/>
    <x v="214"/>
    <x v="1"/>
    <s v="tier - 3"/>
    <x v="3"/>
    <n v="30"/>
  </r>
  <r>
    <x v="218"/>
    <x v="216"/>
    <n v="42.27"/>
    <n v="6.05"/>
    <x v="1"/>
    <x v="0"/>
    <x v="0"/>
    <n v="1"/>
    <x v="0"/>
    <x v="0"/>
    <x v="1"/>
    <d v="1973-12-16T00:00:00"/>
    <x v="215"/>
    <x v="1"/>
    <s v="tier - 2"/>
    <x v="3"/>
    <n v="49"/>
  </r>
  <r>
    <x v="219"/>
    <x v="79"/>
    <n v="53.25"/>
    <n v="6.11"/>
    <x v="1"/>
    <x v="0"/>
    <x v="1"/>
    <n v="1"/>
    <x v="0"/>
    <x v="0"/>
    <x v="1"/>
    <d v="1988-11-20T00:00:00"/>
    <x v="216"/>
    <x v="0"/>
    <s v="tier - 2"/>
    <x v="3"/>
    <n v="34"/>
  </r>
  <r>
    <x v="220"/>
    <x v="217"/>
    <n v="26.8"/>
    <n v="10.93"/>
    <x v="1"/>
    <x v="0"/>
    <x v="0"/>
    <n v="0"/>
    <x v="1"/>
    <x v="1"/>
    <x v="0"/>
    <d v="1971-09-22T00:00:00"/>
    <x v="217"/>
    <x v="1"/>
    <s v="tier - 3"/>
    <x v="3"/>
    <n v="51"/>
  </r>
  <r>
    <x v="221"/>
    <x v="218"/>
    <n v="28.5"/>
    <n v="5.12"/>
    <x v="0"/>
    <x v="0"/>
    <x v="0"/>
    <n v="1"/>
    <x v="0"/>
    <x v="1"/>
    <x v="2"/>
    <d v="1988-09-19T00:00:00"/>
    <x v="218"/>
    <x v="1"/>
    <s v="tier - 1"/>
    <x v="3"/>
    <n v="34"/>
  </r>
  <r>
    <x v="222"/>
    <x v="219"/>
    <n v="22.895"/>
    <n v="5.72"/>
    <x v="0"/>
    <x v="0"/>
    <x v="0"/>
    <n v="0"/>
    <x v="0"/>
    <x v="2"/>
    <x v="1"/>
    <d v="1997-07-09T00:00:00"/>
    <x v="219"/>
    <x v="0"/>
    <s v="tier - 2"/>
    <x v="3"/>
    <n v="25"/>
  </r>
  <r>
    <x v="223"/>
    <x v="220"/>
    <n v="34.06"/>
    <n v="11.83"/>
    <x v="1"/>
    <x v="0"/>
    <x v="0"/>
    <n v="1"/>
    <x v="0"/>
    <x v="0"/>
    <x v="0"/>
    <d v="1967-12-30T00:00:00"/>
    <x v="220"/>
    <x v="1"/>
    <s v="tier - 2"/>
    <x v="3"/>
    <n v="55"/>
  </r>
  <r>
    <x v="224"/>
    <x v="221"/>
    <n v="36.409999999999997"/>
    <n v="4.55"/>
    <x v="0"/>
    <x v="0"/>
    <x v="0"/>
    <n v="0"/>
    <x v="0"/>
    <x v="0"/>
    <x v="2"/>
    <d v="1998-12-22T00:00:00"/>
    <x v="221"/>
    <x v="0"/>
    <s v="tier - 1"/>
    <x v="4"/>
    <n v="24"/>
  </r>
  <r>
    <x v="225"/>
    <x v="63"/>
    <n v="52.3"/>
    <n v="4.87"/>
    <x v="1"/>
    <x v="0"/>
    <x v="1"/>
    <n v="1"/>
    <x v="0"/>
    <x v="0"/>
    <x v="2"/>
    <d v="1977-06-29T00:00:00"/>
    <x v="222"/>
    <x v="0"/>
    <s v="tier - 1"/>
    <x v="6"/>
    <n v="45"/>
  </r>
  <r>
    <x v="226"/>
    <x v="222"/>
    <n v="52.66"/>
    <n v="4.45"/>
    <x v="0"/>
    <x v="0"/>
    <x v="0"/>
    <n v="1"/>
    <x v="0"/>
    <x v="0"/>
    <x v="2"/>
    <d v="1975-08-29T00:00:00"/>
    <x v="223"/>
    <x v="1"/>
    <s v="tier - 1"/>
    <x v="3"/>
    <n v="47"/>
  </r>
  <r>
    <x v="227"/>
    <x v="223"/>
    <n v="29.57"/>
    <n v="9.42"/>
    <x v="1"/>
    <x v="0"/>
    <x v="0"/>
    <n v="0"/>
    <x v="0"/>
    <x v="1"/>
    <x v="0"/>
    <d v="1982-07-05T00:00:00"/>
    <x v="224"/>
    <x v="1"/>
    <s v="tier - 3"/>
    <x v="3"/>
    <n v="40"/>
  </r>
  <r>
    <x v="228"/>
    <x v="224"/>
    <n v="36.99"/>
    <n v="5.37"/>
    <x v="1"/>
    <x v="0"/>
    <x v="1"/>
    <n v="1"/>
    <x v="0"/>
    <x v="0"/>
    <x v="2"/>
    <d v="1997-08-22T00:00:00"/>
    <x v="225"/>
    <x v="1"/>
    <s v="tier - 2"/>
    <x v="3"/>
    <n v="25"/>
  </r>
  <r>
    <x v="229"/>
    <x v="225"/>
    <n v="31.4"/>
    <n v="4.5999999999999996"/>
    <x v="1"/>
    <x v="0"/>
    <x v="0"/>
    <n v="1"/>
    <x v="0"/>
    <x v="0"/>
    <x v="2"/>
    <d v="1998-08-22T00:00:00"/>
    <x v="226"/>
    <x v="1"/>
    <s v="tier - 1"/>
    <x v="3"/>
    <n v="24"/>
  </r>
  <r>
    <x v="230"/>
    <x v="226"/>
    <n v="34.9"/>
    <n v="6.22"/>
    <x v="0"/>
    <x v="0"/>
    <x v="1"/>
    <n v="1"/>
    <x v="0"/>
    <x v="0"/>
    <x v="1"/>
    <d v="1967-10-07T00:00:00"/>
    <x v="227"/>
    <x v="1"/>
    <s v="tier - 2"/>
    <x v="3"/>
    <n v="55"/>
  </r>
  <r>
    <x v="231"/>
    <x v="227"/>
    <n v="31.13"/>
    <n v="4.5199999999999996"/>
    <x v="1"/>
    <x v="0"/>
    <x v="0"/>
    <n v="1"/>
    <x v="0"/>
    <x v="0"/>
    <x v="2"/>
    <d v="1983-07-29T00:00:00"/>
    <x v="228"/>
    <x v="1"/>
    <s v="tier - 3"/>
    <x v="3"/>
    <n v="39"/>
  </r>
  <r>
    <x v="232"/>
    <x v="228"/>
    <n v="34.799999999999997"/>
    <n v="6.18"/>
    <x v="0"/>
    <x v="0"/>
    <x v="1"/>
    <n v="1"/>
    <x v="0"/>
    <x v="0"/>
    <x v="1"/>
    <d v="1995-10-17T00:00:00"/>
    <x v="229"/>
    <x v="1"/>
    <s v="tier - 3"/>
    <x v="3"/>
    <n v="27"/>
  </r>
  <r>
    <x v="233"/>
    <x v="229"/>
    <n v="31.68"/>
    <n v="4.4000000000000004"/>
    <x v="0"/>
    <x v="0"/>
    <x v="0"/>
    <n v="0"/>
    <x v="0"/>
    <x v="0"/>
    <x v="2"/>
    <d v="2003-09-17T00:00:00"/>
    <x v="230"/>
    <x v="0"/>
    <s v="tier - 3"/>
    <x v="3"/>
    <n v="19"/>
  </r>
  <r>
    <x v="234"/>
    <x v="132"/>
    <n v="33.534999999999997"/>
    <n v="6.23"/>
    <x v="0"/>
    <x v="1"/>
    <x v="0"/>
    <n v="1"/>
    <x v="0"/>
    <x v="0"/>
    <x v="1"/>
    <d v="1995-12-27T00:00:00"/>
    <x v="231"/>
    <x v="0"/>
    <s v="tier - 2"/>
    <x v="0"/>
    <n v="27"/>
  </r>
  <r>
    <x v="235"/>
    <x v="230"/>
    <n v="31.92"/>
    <n v="5.33"/>
    <x v="1"/>
    <x v="0"/>
    <x v="0"/>
    <n v="0"/>
    <x v="0"/>
    <x v="0"/>
    <x v="2"/>
    <d v="2003-07-03T00:00:00"/>
    <x v="232"/>
    <x v="0"/>
    <s v="tier - 2"/>
    <x v="3"/>
    <n v="19"/>
  </r>
  <r>
    <x v="236"/>
    <x v="231"/>
    <n v="32.700000000000003"/>
    <n v="4.09"/>
    <x v="0"/>
    <x v="0"/>
    <x v="0"/>
    <n v="1"/>
    <x v="0"/>
    <x v="0"/>
    <x v="2"/>
    <d v="1994-07-07T00:00:00"/>
    <x v="233"/>
    <x v="0"/>
    <s v="tier - 3"/>
    <x v="0"/>
    <n v="28"/>
  </r>
  <r>
    <x v="237"/>
    <x v="232"/>
    <n v="41.25"/>
    <n v="5.19"/>
    <x v="0"/>
    <x v="0"/>
    <x v="0"/>
    <n v="0"/>
    <x v="0"/>
    <x v="0"/>
    <x v="2"/>
    <d v="2004-10-09T00:00:00"/>
    <x v="234"/>
    <x v="0"/>
    <s v="tier - 3"/>
    <x v="4"/>
    <n v="18"/>
  </r>
  <r>
    <x v="238"/>
    <x v="233"/>
    <n v="33.11"/>
    <n v="4.12"/>
    <x v="0"/>
    <x v="0"/>
    <x v="1"/>
    <n v="1"/>
    <x v="0"/>
    <x v="0"/>
    <x v="2"/>
    <d v="1976-11-25T00:00:00"/>
    <x v="235"/>
    <x v="1"/>
    <s v="tier - 3"/>
    <x v="3"/>
    <n v="46"/>
  </r>
  <r>
    <x v="239"/>
    <x v="234"/>
    <n v="36.159999999999997"/>
    <n v="5.0999999999999996"/>
    <x v="0"/>
    <x v="0"/>
    <x v="0"/>
    <n v="1"/>
    <x v="0"/>
    <x v="0"/>
    <x v="2"/>
    <d v="1998-06-24T00:00:00"/>
    <x v="236"/>
    <x v="0"/>
    <s v="tier - 3"/>
    <x v="3"/>
    <n v="24"/>
  </r>
  <r>
    <x v="240"/>
    <x v="235"/>
    <n v="33.72"/>
    <n v="6.21"/>
    <x v="1"/>
    <x v="0"/>
    <x v="1"/>
    <n v="1"/>
    <x v="0"/>
    <x v="0"/>
    <x v="1"/>
    <d v="1990-09-24T00:00:00"/>
    <x v="237"/>
    <x v="0"/>
    <s v="tier - 2"/>
    <x v="3"/>
    <n v="32"/>
  </r>
  <r>
    <x v="241"/>
    <x v="236"/>
    <n v="37.74"/>
    <n v="9.5299999999999994"/>
    <x v="1"/>
    <x v="0"/>
    <x v="0"/>
    <n v="1"/>
    <x v="0"/>
    <x v="0"/>
    <x v="0"/>
    <d v="2003-10-05T00:00:00"/>
    <x v="238"/>
    <x v="1"/>
    <s v="tier - 1"/>
    <x v="0"/>
    <n v="19"/>
  </r>
  <r>
    <x v="242"/>
    <x v="237"/>
    <n v="48.75"/>
    <n v="4.6399999999999997"/>
    <x v="1"/>
    <x v="0"/>
    <x v="0"/>
    <n v="1"/>
    <x v="0"/>
    <x v="0"/>
    <x v="2"/>
    <d v="1984-10-01T00:00:00"/>
    <x v="239"/>
    <x v="1"/>
    <s v="tier - 3"/>
    <x v="3"/>
    <n v="38"/>
  </r>
  <r>
    <x v="243"/>
    <x v="238"/>
    <n v="31.065000000000001"/>
    <n v="5.05"/>
    <x v="0"/>
    <x v="0"/>
    <x v="0"/>
    <n v="1"/>
    <x v="0"/>
    <x v="0"/>
    <x v="2"/>
    <d v="1983-10-02T00:00:00"/>
    <x v="240"/>
    <x v="1"/>
    <s v="tier - 2"/>
    <x v="1"/>
    <n v="39"/>
  </r>
  <r>
    <x v="244"/>
    <x v="239"/>
    <n v="23.55"/>
    <n v="10.38"/>
    <x v="0"/>
    <x v="0"/>
    <x v="0"/>
    <n v="0"/>
    <x v="0"/>
    <x v="2"/>
    <x v="0"/>
    <d v="2004-11-01T00:00:00"/>
    <x v="241"/>
    <x v="0"/>
    <s v="tier - 3"/>
    <x v="0"/>
    <n v="18"/>
  </r>
  <r>
    <x v="245"/>
    <x v="240"/>
    <n v="30.18"/>
    <n v="8.31"/>
    <x v="1"/>
    <x v="0"/>
    <x v="0"/>
    <n v="1"/>
    <x v="0"/>
    <x v="0"/>
    <x v="0"/>
    <d v="1986-10-11T00:00:00"/>
    <x v="242"/>
    <x v="0"/>
    <s v="tier - 2"/>
    <x v="3"/>
    <n v="36"/>
  </r>
  <r>
    <x v="246"/>
    <x v="241"/>
    <n v="29.94"/>
    <n v="7.59"/>
    <x v="0"/>
    <x v="0"/>
    <x v="0"/>
    <n v="0"/>
    <x v="0"/>
    <x v="1"/>
    <x v="0"/>
    <d v="1995-10-30T00:00:00"/>
    <x v="243"/>
    <x v="0"/>
    <s v="tier - 1"/>
    <x v="3"/>
    <n v="27"/>
  </r>
  <r>
    <x v="247"/>
    <x v="242"/>
    <n v="31.4"/>
    <n v="5.49"/>
    <x v="0"/>
    <x v="0"/>
    <x v="0"/>
    <n v="0"/>
    <x v="0"/>
    <x v="0"/>
    <x v="2"/>
    <d v="1998-06-11T00:00:00"/>
    <x v="244"/>
    <x v="0"/>
    <s v="tier - 3"/>
    <x v="9"/>
    <n v="24"/>
  </r>
  <r>
    <x v="248"/>
    <x v="243"/>
    <n v="53.06"/>
    <n v="11.68"/>
    <x v="0"/>
    <x v="0"/>
    <x v="0"/>
    <n v="0"/>
    <x v="0"/>
    <x v="0"/>
    <x v="0"/>
    <d v="1962-07-05T00:00:00"/>
    <x v="245"/>
    <x v="0"/>
    <s v="tier - 1"/>
    <x v="3"/>
    <n v="60"/>
  </r>
  <r>
    <x v="249"/>
    <x v="244"/>
    <n v="30.25"/>
    <n v="4.1900000000000004"/>
    <x v="0"/>
    <x v="0"/>
    <x v="0"/>
    <n v="2"/>
    <x v="0"/>
    <x v="0"/>
    <x v="2"/>
    <d v="1975-07-21T00:00:00"/>
    <x v="246"/>
    <x v="1"/>
    <s v="tier - 1"/>
    <x v="1"/>
    <n v="47"/>
  </r>
  <r>
    <x v="250"/>
    <x v="245"/>
    <n v="46.68"/>
    <n v="4.01"/>
    <x v="0"/>
    <x v="0"/>
    <x v="0"/>
    <n v="0"/>
    <x v="0"/>
    <x v="0"/>
    <x v="2"/>
    <d v="1971-08-25T00:00:00"/>
    <x v="247"/>
    <x v="1"/>
    <s v="tier - 2"/>
    <x v="3"/>
    <n v="51"/>
  </r>
  <r>
    <x v="251"/>
    <x v="246"/>
    <n v="30.4"/>
    <n v="5.91"/>
    <x v="0"/>
    <x v="1"/>
    <x v="0"/>
    <n v="2"/>
    <x v="0"/>
    <x v="0"/>
    <x v="1"/>
    <d v="1999-11-06T00:00:00"/>
    <x v="248"/>
    <x v="1"/>
    <s v="tier - 3"/>
    <x v="3"/>
    <n v="23"/>
  </r>
  <r>
    <x v="252"/>
    <x v="247"/>
    <n v="30.2"/>
    <n v="4.47"/>
    <x v="1"/>
    <x v="0"/>
    <x v="1"/>
    <n v="1"/>
    <x v="0"/>
    <x v="0"/>
    <x v="2"/>
    <d v="2002-12-26T00:00:00"/>
    <x v="249"/>
    <x v="1"/>
    <s v="tier - 3"/>
    <x v="3"/>
    <n v="20"/>
  </r>
  <r>
    <x v="253"/>
    <x v="248"/>
    <n v="51.18"/>
    <n v="4.5599999999999996"/>
    <x v="1"/>
    <x v="1"/>
    <x v="0"/>
    <n v="2"/>
    <x v="0"/>
    <x v="0"/>
    <x v="2"/>
    <d v="1972-07-26T00:00:00"/>
    <x v="250"/>
    <x v="1"/>
    <s v="tier - 2"/>
    <x v="3"/>
    <n v="50"/>
  </r>
  <r>
    <x v="254"/>
    <x v="249"/>
    <n v="22.18"/>
    <n v="9.9"/>
    <x v="0"/>
    <x v="0"/>
    <x v="0"/>
    <n v="0"/>
    <x v="0"/>
    <x v="2"/>
    <x v="0"/>
    <d v="1994-09-25T00:00:00"/>
    <x v="251"/>
    <x v="1"/>
    <s v="tier - 2"/>
    <x v="3"/>
    <n v="28"/>
  </r>
  <r>
    <x v="255"/>
    <x v="250"/>
    <n v="31.92"/>
    <n v="5.1100000000000003"/>
    <x v="0"/>
    <x v="0"/>
    <x v="1"/>
    <n v="1"/>
    <x v="0"/>
    <x v="0"/>
    <x v="2"/>
    <d v="2000-12-27T00:00:00"/>
    <x v="252"/>
    <x v="1"/>
    <s v="tier - 2"/>
    <x v="1"/>
    <n v="22"/>
  </r>
  <r>
    <x v="256"/>
    <x v="251"/>
    <n v="31.73"/>
    <n v="5.73"/>
    <x v="0"/>
    <x v="1"/>
    <x v="0"/>
    <n v="1"/>
    <x v="0"/>
    <x v="0"/>
    <x v="1"/>
    <d v="1997-08-09T00:00:00"/>
    <x v="253"/>
    <x v="1"/>
    <s v="tier - 3"/>
    <x v="3"/>
    <n v="25"/>
  </r>
  <r>
    <x v="257"/>
    <x v="252"/>
    <n v="45.52"/>
    <n v="6.04"/>
    <x v="0"/>
    <x v="0"/>
    <x v="1"/>
    <n v="1"/>
    <x v="0"/>
    <x v="0"/>
    <x v="1"/>
    <d v="2000-10-26T00:00:00"/>
    <x v="254"/>
    <x v="1"/>
    <s v="tier - 3"/>
    <x v="3"/>
    <n v="22"/>
  </r>
  <r>
    <x v="258"/>
    <x v="253"/>
    <n v="52.81"/>
    <n v="5.19"/>
    <x v="0"/>
    <x v="0"/>
    <x v="1"/>
    <n v="1"/>
    <x v="0"/>
    <x v="0"/>
    <x v="2"/>
    <d v="1962-12-11T00:00:00"/>
    <x v="255"/>
    <x v="0"/>
    <s v="tier - 3"/>
    <x v="3"/>
    <n v="60"/>
  </r>
  <r>
    <x v="259"/>
    <x v="254"/>
    <n v="33.58"/>
    <n v="5.56"/>
    <x v="0"/>
    <x v="0"/>
    <x v="0"/>
    <n v="1"/>
    <x v="0"/>
    <x v="0"/>
    <x v="2"/>
    <d v="2003-09-12T00:00:00"/>
    <x v="256"/>
    <x v="0"/>
    <s v="tier - 3"/>
    <x v="1"/>
    <n v="19"/>
  </r>
  <r>
    <x v="260"/>
    <x v="255"/>
    <n v="30.684999999999999"/>
    <n v="8.23"/>
    <x v="0"/>
    <x v="0"/>
    <x v="0"/>
    <n v="0"/>
    <x v="0"/>
    <x v="0"/>
    <x v="0"/>
    <d v="2004-11-01T00:00:00"/>
    <x v="257"/>
    <x v="0"/>
    <s v="tier - 1"/>
    <x v="6"/>
    <n v="18"/>
  </r>
  <r>
    <x v="261"/>
    <x v="256"/>
    <n v="37.524999999999999"/>
    <n v="9.0299999999999994"/>
    <x v="1"/>
    <x v="0"/>
    <x v="0"/>
    <n v="2"/>
    <x v="1"/>
    <x v="0"/>
    <x v="0"/>
    <d v="1993-11-28T00:00:00"/>
    <x v="258"/>
    <x v="1"/>
    <s v="tier - 2"/>
    <x v="3"/>
    <n v="29"/>
  </r>
  <r>
    <x v="262"/>
    <x v="257"/>
    <n v="34.5"/>
    <n v="4.07"/>
    <x v="1"/>
    <x v="0"/>
    <x v="0"/>
    <n v="0"/>
    <x v="0"/>
    <x v="0"/>
    <x v="2"/>
    <d v="2003-09-09T00:00:00"/>
    <x v="259"/>
    <x v="0"/>
    <s v="tier - 2"/>
    <x v="3"/>
    <n v="19"/>
  </r>
  <r>
    <x v="263"/>
    <x v="258"/>
    <n v="28.16"/>
    <n v="5.77"/>
    <x v="0"/>
    <x v="0"/>
    <x v="0"/>
    <n v="2"/>
    <x v="0"/>
    <x v="1"/>
    <x v="1"/>
    <d v="1984-07-22T00:00:00"/>
    <x v="260"/>
    <x v="1"/>
    <s v="tier - 3"/>
    <x v="3"/>
    <n v="38"/>
  </r>
  <r>
    <x v="264"/>
    <x v="259"/>
    <n v="30.02"/>
    <n v="5.98"/>
    <x v="0"/>
    <x v="0"/>
    <x v="1"/>
    <n v="1"/>
    <x v="0"/>
    <x v="0"/>
    <x v="1"/>
    <d v="2002-08-25T00:00:00"/>
    <x v="261"/>
    <x v="0"/>
    <s v="tier - 1"/>
    <x v="11"/>
    <n v="20"/>
  </r>
  <r>
    <x v="265"/>
    <x v="260"/>
    <n v="37.82"/>
    <n v="6.01"/>
    <x v="0"/>
    <x v="0"/>
    <x v="0"/>
    <n v="0"/>
    <x v="0"/>
    <x v="0"/>
    <x v="1"/>
    <d v="1970-06-18T00:00:00"/>
    <x v="262"/>
    <x v="1"/>
    <s v="tier - 2"/>
    <x v="1"/>
    <n v="52"/>
  </r>
  <r>
    <x v="266"/>
    <x v="261"/>
    <n v="33.14"/>
    <n v="5.67"/>
    <x v="1"/>
    <x v="0"/>
    <x v="0"/>
    <n v="0"/>
    <x v="0"/>
    <x v="0"/>
    <x v="2"/>
    <d v="1985-12-07T00:00:00"/>
    <x v="263"/>
    <x v="1"/>
    <s v="tier - 2"/>
    <x v="3"/>
    <n v="37"/>
  </r>
  <r>
    <x v="267"/>
    <x v="187"/>
    <n v="25.14"/>
    <n v="6.02"/>
    <x v="1"/>
    <x v="0"/>
    <x v="1"/>
    <n v="1"/>
    <x v="0"/>
    <x v="1"/>
    <x v="1"/>
    <d v="1972-09-05T00:00:00"/>
    <x v="264"/>
    <x v="1"/>
    <s v="tier - 3"/>
    <x v="3"/>
    <n v="50"/>
  </r>
  <r>
    <x v="268"/>
    <x v="262"/>
    <n v="20.18"/>
    <n v="11.19"/>
    <x v="0"/>
    <x v="0"/>
    <x v="0"/>
    <n v="0"/>
    <x v="0"/>
    <x v="2"/>
    <x v="0"/>
    <d v="2003-11-28T00:00:00"/>
    <x v="265"/>
    <x v="1"/>
    <s v="tier - 3"/>
    <x v="1"/>
    <n v="19"/>
  </r>
  <r>
    <x v="269"/>
    <x v="263"/>
    <n v="44.36"/>
    <n v="5.1100000000000003"/>
    <x v="0"/>
    <x v="0"/>
    <x v="0"/>
    <n v="0"/>
    <x v="0"/>
    <x v="0"/>
    <x v="2"/>
    <d v="1990-10-12T00:00:00"/>
    <x v="266"/>
    <x v="1"/>
    <s v="tier - 1"/>
    <x v="3"/>
    <n v="32"/>
  </r>
  <r>
    <x v="270"/>
    <x v="264"/>
    <n v="23.82"/>
    <n v="10.85"/>
    <x v="1"/>
    <x v="0"/>
    <x v="0"/>
    <n v="0"/>
    <x v="0"/>
    <x v="2"/>
    <x v="0"/>
    <d v="1985-07-15T00:00:00"/>
    <x v="267"/>
    <x v="1"/>
    <s v="tier - 1"/>
    <x v="3"/>
    <n v="37"/>
  </r>
  <r>
    <x v="271"/>
    <x v="265"/>
    <n v="45"/>
    <n v="5.24"/>
    <x v="1"/>
    <x v="0"/>
    <x v="0"/>
    <n v="1"/>
    <x v="0"/>
    <x v="0"/>
    <x v="2"/>
    <d v="1969-10-30T00:00:00"/>
    <x v="268"/>
    <x v="1"/>
    <s v="tier - 2"/>
    <x v="3"/>
    <n v="53"/>
  </r>
  <r>
    <x v="272"/>
    <x v="266"/>
    <n v="26.62"/>
    <n v="10.08"/>
    <x v="0"/>
    <x v="0"/>
    <x v="0"/>
    <n v="0"/>
    <x v="0"/>
    <x v="1"/>
    <x v="0"/>
    <d v="1962-07-01T00:00:00"/>
    <x v="269"/>
    <x v="0"/>
    <s v="tier - 2"/>
    <x v="3"/>
    <n v="60"/>
  </r>
  <r>
    <x v="273"/>
    <x v="267"/>
    <n v="32.67"/>
    <n v="10.97"/>
    <x v="1"/>
    <x v="0"/>
    <x v="0"/>
    <n v="0"/>
    <x v="0"/>
    <x v="0"/>
    <x v="0"/>
    <d v="1994-07-28T00:00:00"/>
    <x v="270"/>
    <x v="0"/>
    <s v="tier - 2"/>
    <x v="3"/>
    <n v="28"/>
  </r>
  <r>
    <x v="274"/>
    <x v="268"/>
    <n v="44.44"/>
    <n v="4.9000000000000004"/>
    <x v="1"/>
    <x v="0"/>
    <x v="0"/>
    <n v="1"/>
    <x v="0"/>
    <x v="0"/>
    <x v="2"/>
    <d v="1967-07-10T00:00:00"/>
    <x v="271"/>
    <x v="1"/>
    <s v="tier - 3"/>
    <x v="3"/>
    <n v="55"/>
  </r>
  <r>
    <x v="275"/>
    <x v="269"/>
    <n v="28.31"/>
    <n v="5.33"/>
    <x v="0"/>
    <x v="0"/>
    <x v="0"/>
    <n v="0"/>
    <x v="0"/>
    <x v="1"/>
    <x v="2"/>
    <d v="1995-07-08T00:00:00"/>
    <x v="272"/>
    <x v="0"/>
    <s v="tier - 1"/>
    <x v="3"/>
    <n v="27"/>
  </r>
  <r>
    <x v="276"/>
    <x v="270"/>
    <n v="25.05"/>
    <n v="4.6100000000000003"/>
    <x v="0"/>
    <x v="0"/>
    <x v="0"/>
    <n v="2"/>
    <x v="0"/>
    <x v="1"/>
    <x v="2"/>
    <d v="1971-08-24T00:00:00"/>
    <x v="273"/>
    <x v="1"/>
    <s v="tier - 1"/>
    <x v="3"/>
    <n v="51"/>
  </r>
  <r>
    <x v="277"/>
    <x v="271"/>
    <n v="28.34"/>
    <n v="8.18"/>
    <x v="0"/>
    <x v="0"/>
    <x v="0"/>
    <n v="0"/>
    <x v="0"/>
    <x v="1"/>
    <x v="0"/>
    <d v="1981-11-17T00:00:00"/>
    <x v="274"/>
    <x v="1"/>
    <s v="tier - 3"/>
    <x v="3"/>
    <n v="41"/>
  </r>
  <r>
    <x v="278"/>
    <x v="178"/>
    <n v="17.765000000000001"/>
    <n v="5.62"/>
    <x v="0"/>
    <x v="0"/>
    <x v="0"/>
    <n v="0"/>
    <x v="0"/>
    <x v="3"/>
    <x v="2"/>
    <d v="1995-12-04T00:00:00"/>
    <x v="275"/>
    <x v="0"/>
    <s v="tier - 2"/>
    <x v="3"/>
    <n v="27"/>
  </r>
  <r>
    <x v="279"/>
    <x v="272"/>
    <n v="36.119999999999997"/>
    <n v="5.82"/>
    <x v="0"/>
    <x v="0"/>
    <x v="0"/>
    <n v="0"/>
    <x v="0"/>
    <x v="0"/>
    <x v="1"/>
    <d v="1980-12-12T00:00:00"/>
    <x v="276"/>
    <x v="0"/>
    <s v="tier - 3"/>
    <x v="1"/>
    <n v="42"/>
  </r>
  <r>
    <x v="280"/>
    <x v="273"/>
    <n v="23.19"/>
    <n v="7.66"/>
    <x v="0"/>
    <x v="0"/>
    <x v="0"/>
    <n v="0"/>
    <x v="0"/>
    <x v="2"/>
    <x v="0"/>
    <d v="1972-11-07T00:00:00"/>
    <x v="277"/>
    <x v="1"/>
    <s v="tier - 2"/>
    <x v="1"/>
    <n v="50"/>
  </r>
  <r>
    <x v="281"/>
    <x v="92"/>
    <n v="35.99"/>
    <n v="4.2300000000000004"/>
    <x v="0"/>
    <x v="0"/>
    <x v="0"/>
    <n v="0"/>
    <x v="0"/>
    <x v="0"/>
    <x v="2"/>
    <d v="1974-12-06T00:00:00"/>
    <x v="278"/>
    <x v="0"/>
    <s v="tier - 1"/>
    <x v="3"/>
    <n v="48"/>
  </r>
  <r>
    <x v="282"/>
    <x v="274"/>
    <n v="30.25"/>
    <n v="5.58"/>
    <x v="0"/>
    <x v="0"/>
    <x v="1"/>
    <n v="1"/>
    <x v="0"/>
    <x v="0"/>
    <x v="2"/>
    <d v="1990-07-09T00:00:00"/>
    <x v="279"/>
    <x v="1"/>
    <s v="tier - 1"/>
    <x v="1"/>
    <n v="32"/>
  </r>
  <r>
    <x v="283"/>
    <x v="275"/>
    <n v="26.24"/>
    <n v="6.26"/>
    <x v="1"/>
    <x v="0"/>
    <x v="0"/>
    <n v="0"/>
    <x v="0"/>
    <x v="1"/>
    <x v="1"/>
    <d v="1990-09-30T00:00:00"/>
    <x v="280"/>
    <x v="0"/>
    <s v="tier - 2"/>
    <x v="3"/>
    <n v="32"/>
  </r>
  <r>
    <x v="284"/>
    <x v="276"/>
    <n v="31.36"/>
    <n v="10.6"/>
    <x v="1"/>
    <x v="0"/>
    <x v="0"/>
    <n v="0"/>
    <x v="0"/>
    <x v="0"/>
    <x v="0"/>
    <d v="1968-11-01T00:00:00"/>
    <x v="281"/>
    <x v="1"/>
    <s v="tier - 3"/>
    <x v="3"/>
    <n v="54"/>
  </r>
  <r>
    <x v="285"/>
    <x v="277"/>
    <n v="25.69"/>
    <n v="4.78"/>
    <x v="1"/>
    <x v="0"/>
    <x v="0"/>
    <n v="0"/>
    <x v="0"/>
    <x v="1"/>
    <x v="2"/>
    <d v="1990-07-13T00:00:00"/>
    <x v="282"/>
    <x v="0"/>
    <s v="tier - 1"/>
    <x v="3"/>
    <n v="32"/>
  </r>
  <r>
    <x v="286"/>
    <x v="278"/>
    <n v="25.46"/>
    <n v="6.03"/>
    <x v="0"/>
    <x v="0"/>
    <x v="0"/>
    <n v="2"/>
    <x v="0"/>
    <x v="1"/>
    <x v="1"/>
    <d v="2003-10-08T00:00:00"/>
    <x v="283"/>
    <x v="0"/>
    <s v="tier - 2"/>
    <x v="0"/>
    <n v="19"/>
  </r>
  <r>
    <x v="287"/>
    <x v="279"/>
    <n v="31.83"/>
    <n v="11.55"/>
    <x v="1"/>
    <x v="0"/>
    <x v="0"/>
    <n v="1"/>
    <x v="0"/>
    <x v="0"/>
    <x v="0"/>
    <d v="1976-09-19T00:00:00"/>
    <x v="284"/>
    <x v="1"/>
    <s v="tier - 1"/>
    <x v="3"/>
    <n v="46"/>
  </r>
  <r>
    <x v="288"/>
    <x v="280"/>
    <n v="24.43"/>
    <n v="7.59"/>
    <x v="1"/>
    <x v="0"/>
    <x v="0"/>
    <n v="1"/>
    <x v="0"/>
    <x v="2"/>
    <x v="0"/>
    <d v="1981-09-27T00:00:00"/>
    <x v="285"/>
    <x v="1"/>
    <s v="tier - 2"/>
    <x v="3"/>
    <n v="41"/>
  </r>
  <r>
    <x v="289"/>
    <x v="281"/>
    <n v="41.9"/>
    <n v="4.26"/>
    <x v="0"/>
    <x v="0"/>
    <x v="0"/>
    <n v="0"/>
    <x v="0"/>
    <x v="0"/>
    <x v="2"/>
    <d v="1976-08-09T00:00:00"/>
    <x v="286"/>
    <x v="1"/>
    <s v="tier - 3"/>
    <x v="3"/>
    <n v="46"/>
  </r>
  <r>
    <x v="290"/>
    <x v="282"/>
    <n v="22.88"/>
    <n v="5.9"/>
    <x v="1"/>
    <x v="0"/>
    <x v="1"/>
    <n v="1"/>
    <x v="0"/>
    <x v="2"/>
    <x v="1"/>
    <d v="1972-10-19T00:00:00"/>
    <x v="287"/>
    <x v="1"/>
    <s v="tier - 2"/>
    <x v="3"/>
    <n v="50"/>
  </r>
  <r>
    <x v="291"/>
    <x v="283"/>
    <n v="29.734999999999999"/>
    <n v="7.79"/>
    <x v="0"/>
    <x v="0"/>
    <x v="0"/>
    <n v="0"/>
    <x v="1"/>
    <x v="1"/>
    <x v="0"/>
    <d v="1986-12-02T00:00:00"/>
    <x v="288"/>
    <x v="1"/>
    <s v="tier - 2"/>
    <x v="3"/>
    <n v="36"/>
  </r>
  <r>
    <x v="292"/>
    <x v="284"/>
    <n v="40.74"/>
    <n v="5.28"/>
    <x v="0"/>
    <x v="0"/>
    <x v="1"/>
    <n v="1"/>
    <x v="0"/>
    <x v="0"/>
    <x v="2"/>
    <d v="1975-12-17T00:00:00"/>
    <x v="289"/>
    <x v="1"/>
    <s v="tier - 3"/>
    <x v="1"/>
    <n v="47"/>
  </r>
  <r>
    <x v="293"/>
    <x v="285"/>
    <n v="24.14"/>
    <n v="5.87"/>
    <x v="0"/>
    <x v="0"/>
    <x v="0"/>
    <n v="2"/>
    <x v="0"/>
    <x v="2"/>
    <x v="1"/>
    <d v="1994-09-08T00:00:00"/>
    <x v="290"/>
    <x v="1"/>
    <s v="tier - 1"/>
    <x v="3"/>
    <n v="28"/>
  </r>
  <r>
    <x v="294"/>
    <x v="286"/>
    <n v="25.15"/>
    <n v="9.08"/>
    <x v="1"/>
    <x v="0"/>
    <x v="0"/>
    <n v="1"/>
    <x v="0"/>
    <x v="1"/>
    <x v="0"/>
    <d v="1969-09-11T00:00:00"/>
    <x v="291"/>
    <x v="0"/>
    <s v="tier - 2"/>
    <x v="3"/>
    <n v="53"/>
  </r>
  <r>
    <x v="295"/>
    <x v="287"/>
    <n v="28.71"/>
    <n v="5.2"/>
    <x v="0"/>
    <x v="0"/>
    <x v="0"/>
    <n v="1"/>
    <x v="0"/>
    <x v="1"/>
    <x v="2"/>
    <d v="1978-11-10T00:00:00"/>
    <x v="292"/>
    <x v="0"/>
    <s v="tier - 3"/>
    <x v="6"/>
    <n v="44"/>
  </r>
  <r>
    <x v="296"/>
    <x v="288"/>
    <n v="23"/>
    <n v="5.48"/>
    <x v="0"/>
    <x v="0"/>
    <x v="0"/>
    <n v="0"/>
    <x v="0"/>
    <x v="2"/>
    <x v="2"/>
    <d v="1993-09-13T00:00:00"/>
    <x v="293"/>
    <x v="0"/>
    <s v="tier - 3"/>
    <x v="3"/>
    <n v="29"/>
  </r>
  <r>
    <x v="297"/>
    <x v="289"/>
    <n v="36.86"/>
    <n v="11.95"/>
    <x v="0"/>
    <x v="0"/>
    <x v="0"/>
    <n v="0"/>
    <x v="1"/>
    <x v="0"/>
    <x v="0"/>
    <d v="1972-09-21T00:00:00"/>
    <x v="294"/>
    <x v="1"/>
    <s v="tier - 1"/>
    <x v="3"/>
    <n v="50"/>
  </r>
  <r>
    <x v="298"/>
    <x v="290"/>
    <n v="24.25"/>
    <n v="8.6999999999999993"/>
    <x v="1"/>
    <x v="0"/>
    <x v="0"/>
    <n v="1"/>
    <x v="0"/>
    <x v="2"/>
    <x v="0"/>
    <d v="1975-09-25T00:00:00"/>
    <x v="295"/>
    <x v="1"/>
    <s v="tier - 3"/>
    <x v="3"/>
    <n v="47"/>
  </r>
  <r>
    <x v="299"/>
    <x v="291"/>
    <n v="23.85"/>
    <n v="7.84"/>
    <x v="0"/>
    <x v="0"/>
    <x v="0"/>
    <n v="0"/>
    <x v="0"/>
    <x v="2"/>
    <x v="0"/>
    <d v="1984-09-10T00:00:00"/>
    <x v="296"/>
    <x v="1"/>
    <s v="tier - 1"/>
    <x v="3"/>
    <n v="38"/>
  </r>
  <r>
    <x v="300"/>
    <x v="237"/>
    <n v="40.020000000000003"/>
    <n v="5.19"/>
    <x v="1"/>
    <x v="0"/>
    <x v="0"/>
    <n v="1"/>
    <x v="0"/>
    <x v="0"/>
    <x v="2"/>
    <d v="1977-10-14T00:00:00"/>
    <x v="297"/>
    <x v="1"/>
    <s v="tier - 2"/>
    <x v="1"/>
    <n v="45"/>
  </r>
  <r>
    <x v="301"/>
    <x v="292"/>
    <n v="19.170000000000002"/>
    <n v="8.41"/>
    <x v="0"/>
    <x v="0"/>
    <x v="0"/>
    <n v="0"/>
    <x v="0"/>
    <x v="2"/>
    <x v="0"/>
    <d v="1960-12-13T00:00:00"/>
    <x v="298"/>
    <x v="1"/>
    <s v="tier - 1"/>
    <x v="2"/>
    <n v="62"/>
  </r>
  <r>
    <x v="302"/>
    <x v="293"/>
    <n v="43.53"/>
    <n v="5.86"/>
    <x v="1"/>
    <x v="1"/>
    <x v="0"/>
    <n v="2"/>
    <x v="0"/>
    <x v="0"/>
    <x v="1"/>
    <d v="1975-10-29T00:00:00"/>
    <x v="299"/>
    <x v="1"/>
    <s v="tier - 1"/>
    <x v="3"/>
    <n v="47"/>
  </r>
  <r>
    <x v="303"/>
    <x v="294"/>
    <n v="46.06"/>
    <n v="4.18"/>
    <x v="0"/>
    <x v="1"/>
    <x v="0"/>
    <n v="1"/>
    <x v="0"/>
    <x v="0"/>
    <x v="2"/>
    <d v="1974-10-08T00:00:00"/>
    <x v="300"/>
    <x v="1"/>
    <s v="tier - 3"/>
    <x v="3"/>
    <n v="48"/>
  </r>
  <r>
    <x v="304"/>
    <x v="295"/>
    <n v="29.92"/>
    <n v="11.99"/>
    <x v="1"/>
    <x v="0"/>
    <x v="0"/>
    <n v="2"/>
    <x v="0"/>
    <x v="1"/>
    <x v="0"/>
    <d v="1995-09-27T00:00:00"/>
    <x v="301"/>
    <x v="1"/>
    <s v="tier - 2"/>
    <x v="3"/>
    <n v="27"/>
  </r>
  <r>
    <x v="305"/>
    <x v="234"/>
    <n v="28.46"/>
    <n v="4.8499999999999996"/>
    <x v="1"/>
    <x v="0"/>
    <x v="0"/>
    <n v="1"/>
    <x v="0"/>
    <x v="1"/>
    <x v="2"/>
    <d v="1968-07-09T00:00:00"/>
    <x v="302"/>
    <x v="1"/>
    <s v="tier - 1"/>
    <x v="3"/>
    <n v="54"/>
  </r>
  <r>
    <x v="306"/>
    <x v="296"/>
    <n v="24.56"/>
    <n v="6.18"/>
    <x v="1"/>
    <x v="0"/>
    <x v="1"/>
    <n v="1"/>
    <x v="0"/>
    <x v="2"/>
    <x v="1"/>
    <d v="2000-07-22T00:00:00"/>
    <x v="303"/>
    <x v="0"/>
    <s v="tier - 1"/>
    <x v="3"/>
    <n v="22"/>
  </r>
  <r>
    <x v="307"/>
    <x v="297"/>
    <n v="41.19"/>
    <n v="6.37"/>
    <x v="0"/>
    <x v="0"/>
    <x v="0"/>
    <n v="0"/>
    <x v="0"/>
    <x v="0"/>
    <x v="1"/>
    <d v="2004-11-09T00:00:00"/>
    <x v="304"/>
    <x v="1"/>
    <s v="tier - 1"/>
    <x v="3"/>
    <n v="18"/>
  </r>
  <r>
    <x v="308"/>
    <x v="298"/>
    <n v="18.63"/>
    <n v="9.81"/>
    <x v="1"/>
    <x v="0"/>
    <x v="0"/>
    <n v="2"/>
    <x v="0"/>
    <x v="2"/>
    <x v="0"/>
    <d v="1961-09-09T00:00:00"/>
    <x v="305"/>
    <x v="1"/>
    <s v="tier - 2"/>
    <x v="0"/>
    <n v="61"/>
  </r>
  <r>
    <x v="309"/>
    <x v="299"/>
    <n v="26.26"/>
    <n v="11.8"/>
    <x v="1"/>
    <x v="0"/>
    <x v="0"/>
    <n v="1"/>
    <x v="0"/>
    <x v="1"/>
    <x v="0"/>
    <d v="1988-09-05T00:00:00"/>
    <x v="306"/>
    <x v="1"/>
    <s v="tier - 1"/>
    <x v="3"/>
    <n v="34"/>
  </r>
  <r>
    <x v="310"/>
    <x v="69"/>
    <n v="22.37"/>
    <n v="5.86"/>
    <x v="1"/>
    <x v="0"/>
    <x v="1"/>
    <n v="1"/>
    <x v="0"/>
    <x v="2"/>
    <x v="1"/>
    <d v="1983-12-21T00:00:00"/>
    <x v="307"/>
    <x v="1"/>
    <s v="tier - 3"/>
    <x v="3"/>
    <n v="39"/>
  </r>
  <r>
    <x v="311"/>
    <x v="300"/>
    <n v="39.619999999999997"/>
    <n v="4.28"/>
    <x v="0"/>
    <x v="0"/>
    <x v="0"/>
    <n v="1"/>
    <x v="0"/>
    <x v="0"/>
    <x v="2"/>
    <d v="1999-09-21T00:00:00"/>
    <x v="308"/>
    <x v="0"/>
    <s v="tier - 2"/>
    <x v="3"/>
    <n v="23"/>
  </r>
  <r>
    <x v="312"/>
    <x v="301"/>
    <n v="18.329999999999998"/>
    <n v="4.16"/>
    <x v="1"/>
    <x v="0"/>
    <x v="0"/>
    <n v="0"/>
    <x v="0"/>
    <x v="3"/>
    <x v="2"/>
    <d v="1970-11-11T00:00:00"/>
    <x v="309"/>
    <x v="1"/>
    <s v="tier - 3"/>
    <x v="3"/>
    <n v="52"/>
  </r>
  <r>
    <x v="313"/>
    <x v="302"/>
    <n v="17.11"/>
    <n v="4.9800000000000004"/>
    <x v="1"/>
    <x v="0"/>
    <x v="1"/>
    <n v="1"/>
    <x v="0"/>
    <x v="3"/>
    <x v="2"/>
    <d v="1986-08-10T00:00:00"/>
    <x v="310"/>
    <x v="1"/>
    <s v="tier - 1"/>
    <x v="3"/>
    <n v="36"/>
  </r>
  <r>
    <x v="314"/>
    <x v="303"/>
    <n v="43.5"/>
    <n v="6.38"/>
    <x v="0"/>
    <x v="1"/>
    <x v="0"/>
    <n v="1"/>
    <x v="0"/>
    <x v="0"/>
    <x v="1"/>
    <d v="1983-09-03T00:00:00"/>
    <x v="311"/>
    <x v="1"/>
    <s v="tier - 1"/>
    <x v="1"/>
    <n v="39"/>
  </r>
  <r>
    <x v="315"/>
    <x v="304"/>
    <n v="25.364999999999998"/>
    <n v="5.19"/>
    <x v="0"/>
    <x v="0"/>
    <x v="0"/>
    <n v="2"/>
    <x v="1"/>
    <x v="1"/>
    <x v="2"/>
    <d v="1998-10-28T00:00:00"/>
    <x v="312"/>
    <x v="1"/>
    <s v="tier - 3"/>
    <x v="3"/>
    <n v="24"/>
  </r>
  <r>
    <x v="316"/>
    <x v="305"/>
    <n v="28.594999999999999"/>
    <n v="10.210000000000001"/>
    <x v="0"/>
    <x v="0"/>
    <x v="0"/>
    <n v="0"/>
    <x v="1"/>
    <x v="1"/>
    <x v="0"/>
    <d v="1976-09-03T00:00:00"/>
    <x v="313"/>
    <x v="1"/>
    <s v="tier - 3"/>
    <x v="1"/>
    <n v="46"/>
  </r>
  <r>
    <x v="317"/>
    <x v="306"/>
    <n v="29.83"/>
    <n v="9.6999999999999993"/>
    <x v="1"/>
    <x v="0"/>
    <x v="1"/>
    <n v="1"/>
    <x v="0"/>
    <x v="1"/>
    <x v="0"/>
    <d v="1969-07-30T00:00:00"/>
    <x v="314"/>
    <x v="1"/>
    <s v="tier - 2"/>
    <x v="3"/>
    <n v="53"/>
  </r>
  <r>
    <x v="318"/>
    <x v="307"/>
    <n v="24.7"/>
    <n v="10.25"/>
    <x v="0"/>
    <x v="0"/>
    <x v="0"/>
    <n v="3"/>
    <x v="1"/>
    <x v="2"/>
    <x v="0"/>
    <d v="2004-06-01T00:00:00"/>
    <x v="315"/>
    <x v="1"/>
    <s v="tier - 2"/>
    <x v="3"/>
    <n v="19"/>
  </r>
  <r>
    <x v="319"/>
    <x v="308"/>
    <n v="17.940000000000001"/>
    <n v="9.77"/>
    <x v="0"/>
    <x v="0"/>
    <x v="0"/>
    <n v="0"/>
    <x v="0"/>
    <x v="3"/>
    <x v="0"/>
    <d v="1972-07-24T00:00:00"/>
    <x v="316"/>
    <x v="0"/>
    <s v="tier - 1"/>
    <x v="1"/>
    <n v="50"/>
  </r>
  <r>
    <x v="320"/>
    <x v="309"/>
    <n v="21.08"/>
    <n v="4.83"/>
    <x v="0"/>
    <x v="0"/>
    <x v="1"/>
    <n v="1"/>
    <x v="0"/>
    <x v="2"/>
    <x v="2"/>
    <d v="1962-09-15T00:00:00"/>
    <x v="317"/>
    <x v="0"/>
    <s v="tier - 1"/>
    <x v="7"/>
    <n v="60"/>
  </r>
  <r>
    <x v="321"/>
    <x v="310"/>
    <n v="37.715000000000003"/>
    <n v="10.86"/>
    <x v="1"/>
    <x v="0"/>
    <x v="0"/>
    <n v="0"/>
    <x v="1"/>
    <x v="0"/>
    <x v="0"/>
    <d v="1963-09-13T00:00:00"/>
    <x v="318"/>
    <x v="0"/>
    <s v="tier - 1"/>
    <x v="7"/>
    <n v="59"/>
  </r>
  <r>
    <x v="322"/>
    <x v="274"/>
    <n v="22.39"/>
    <n v="9.5299999999999994"/>
    <x v="1"/>
    <x v="0"/>
    <x v="0"/>
    <n v="0"/>
    <x v="0"/>
    <x v="2"/>
    <x v="0"/>
    <d v="1958-08-11T00:00:00"/>
    <x v="319"/>
    <x v="0"/>
    <s v="tier - 3"/>
    <x v="1"/>
    <n v="64"/>
  </r>
  <r>
    <x v="323"/>
    <x v="311"/>
    <n v="28.78"/>
    <n v="5.68"/>
    <x v="0"/>
    <x v="0"/>
    <x v="0"/>
    <n v="0"/>
    <x v="0"/>
    <x v="1"/>
    <x v="2"/>
    <d v="1971-12-25T00:00:00"/>
    <x v="320"/>
    <x v="1"/>
    <s v="tier - 3"/>
    <x v="3"/>
    <n v="51"/>
  </r>
  <r>
    <x v="324"/>
    <x v="312"/>
    <n v="18.329999999999998"/>
    <n v="5.57"/>
    <x v="1"/>
    <x v="0"/>
    <x v="0"/>
    <n v="0"/>
    <x v="0"/>
    <x v="3"/>
    <x v="2"/>
    <d v="1979-09-02T00:00:00"/>
    <x v="321"/>
    <x v="1"/>
    <s v="tier - 3"/>
    <x v="3"/>
    <n v="43"/>
  </r>
  <r>
    <x v="325"/>
    <x v="313"/>
    <n v="26.39"/>
    <n v="4.58"/>
    <x v="1"/>
    <x v="0"/>
    <x v="0"/>
    <n v="1"/>
    <x v="0"/>
    <x v="1"/>
    <x v="2"/>
    <d v="1967-06-16T00:00:00"/>
    <x v="322"/>
    <x v="0"/>
    <s v="tier - 1"/>
    <x v="1"/>
    <n v="55"/>
  </r>
  <r>
    <x v="326"/>
    <x v="314"/>
    <n v="19.260000000000002"/>
    <n v="8.9600000000000009"/>
    <x v="1"/>
    <x v="0"/>
    <x v="0"/>
    <n v="1"/>
    <x v="0"/>
    <x v="2"/>
    <x v="0"/>
    <d v="1981-08-04T00:00:00"/>
    <x v="323"/>
    <x v="1"/>
    <s v="tier - 3"/>
    <x v="1"/>
    <n v="41"/>
  </r>
  <r>
    <x v="327"/>
    <x v="315"/>
    <n v="26.92"/>
    <n v="6.09"/>
    <x v="0"/>
    <x v="0"/>
    <x v="0"/>
    <n v="0"/>
    <x v="0"/>
    <x v="1"/>
    <x v="1"/>
    <d v="1991-10-05T00:00:00"/>
    <x v="324"/>
    <x v="0"/>
    <s v="tier - 1"/>
    <x v="3"/>
    <n v="31"/>
  </r>
  <r>
    <x v="328"/>
    <x v="316"/>
    <n v="19.73"/>
    <n v="4.3600000000000003"/>
    <x v="0"/>
    <x v="0"/>
    <x v="0"/>
    <n v="0"/>
    <x v="0"/>
    <x v="2"/>
    <x v="2"/>
    <d v="1976-06-12T00:00:00"/>
    <x v="325"/>
    <x v="0"/>
    <s v="tier - 1"/>
    <x v="3"/>
    <n v="46"/>
  </r>
  <r>
    <x v="329"/>
    <x v="317"/>
    <n v="23.56"/>
    <n v="11.74"/>
    <x v="1"/>
    <x v="0"/>
    <x v="0"/>
    <n v="0"/>
    <x v="0"/>
    <x v="2"/>
    <x v="0"/>
    <d v="1988-12-30T00:00:00"/>
    <x v="326"/>
    <x v="0"/>
    <s v="tier - 1"/>
    <x v="3"/>
    <n v="34"/>
  </r>
  <r>
    <x v="330"/>
    <x v="318"/>
    <n v="37.67"/>
    <n v="5.89"/>
    <x v="0"/>
    <x v="0"/>
    <x v="0"/>
    <n v="1"/>
    <x v="0"/>
    <x v="0"/>
    <x v="1"/>
    <d v="1975-08-19T00:00:00"/>
    <x v="327"/>
    <x v="0"/>
    <s v="tier - 3"/>
    <x v="3"/>
    <n v="47"/>
  </r>
  <r>
    <x v="331"/>
    <x v="319"/>
    <n v="18.73"/>
    <n v="10.64"/>
    <x v="0"/>
    <x v="0"/>
    <x v="0"/>
    <n v="2"/>
    <x v="0"/>
    <x v="2"/>
    <x v="0"/>
    <d v="1989-12-30T00:00:00"/>
    <x v="328"/>
    <x v="0"/>
    <s v="tier - 3"/>
    <x v="3"/>
    <n v="33"/>
  </r>
  <r>
    <x v="332"/>
    <x v="320"/>
    <n v="33.090000000000003"/>
    <n v="6.06"/>
    <x v="0"/>
    <x v="0"/>
    <x v="1"/>
    <n v="1"/>
    <x v="0"/>
    <x v="0"/>
    <x v="1"/>
    <d v="1982-10-29T00:00:00"/>
    <x v="329"/>
    <x v="0"/>
    <s v="tier - 1"/>
    <x v="1"/>
    <n v="40"/>
  </r>
  <r>
    <x v="333"/>
    <x v="321"/>
    <n v="18.329999999999998"/>
    <n v="7.46"/>
    <x v="1"/>
    <x v="0"/>
    <x v="0"/>
    <n v="1"/>
    <x v="0"/>
    <x v="3"/>
    <x v="0"/>
    <d v="1981-08-13T00:00:00"/>
    <x v="330"/>
    <x v="0"/>
    <s v="tier - 2"/>
    <x v="3"/>
    <n v="41"/>
  </r>
  <r>
    <x v="334"/>
    <x v="322"/>
    <n v="27.74"/>
    <n v="4.68"/>
    <x v="1"/>
    <x v="0"/>
    <x v="0"/>
    <n v="2"/>
    <x v="0"/>
    <x v="1"/>
    <x v="2"/>
    <d v="1998-06-20T00:00:00"/>
    <x v="331"/>
    <x v="0"/>
    <s v="tier - 2"/>
    <x v="3"/>
    <n v="24"/>
  </r>
  <r>
    <x v="335"/>
    <x v="323"/>
    <n v="24.2"/>
    <n v="6.15"/>
    <x v="0"/>
    <x v="0"/>
    <x v="0"/>
    <n v="1"/>
    <x v="0"/>
    <x v="2"/>
    <x v="1"/>
    <d v="1973-08-23T00:00:00"/>
    <x v="332"/>
    <x v="0"/>
    <s v="tier - 3"/>
    <x v="3"/>
    <n v="49"/>
  </r>
  <r>
    <x v="336"/>
    <x v="324"/>
    <n v="22.03"/>
    <n v="4.28"/>
    <x v="1"/>
    <x v="0"/>
    <x v="0"/>
    <n v="0"/>
    <x v="0"/>
    <x v="2"/>
    <x v="2"/>
    <d v="1993-07-27T00:00:00"/>
    <x v="333"/>
    <x v="0"/>
    <s v="tier - 1"/>
    <x v="3"/>
    <n v="29"/>
  </r>
  <r>
    <x v="337"/>
    <x v="325"/>
    <n v="26.885000000000002"/>
    <n v="9.86"/>
    <x v="0"/>
    <x v="0"/>
    <x v="0"/>
    <n v="3"/>
    <x v="0"/>
    <x v="1"/>
    <x v="0"/>
    <d v="1975-11-03T00:00:00"/>
    <x v="334"/>
    <x v="0"/>
    <s v="tier - 1"/>
    <x v="3"/>
    <n v="47"/>
  </r>
  <r>
    <x v="338"/>
    <x v="326"/>
    <n v="16.36"/>
    <n v="11.19"/>
    <x v="0"/>
    <x v="0"/>
    <x v="0"/>
    <n v="0"/>
    <x v="0"/>
    <x v="3"/>
    <x v="0"/>
    <d v="1959-10-20T00:00:00"/>
    <x v="335"/>
    <x v="0"/>
    <s v="tier - 2"/>
    <x v="2"/>
    <n v="63"/>
  </r>
  <r>
    <x v="339"/>
    <x v="327"/>
    <n v="32.299999999999997"/>
    <n v="4.8899999999999997"/>
    <x v="1"/>
    <x v="0"/>
    <x v="1"/>
    <n v="1"/>
    <x v="1"/>
    <x v="0"/>
    <x v="2"/>
    <d v="1987-07-16T00:00:00"/>
    <x v="336"/>
    <x v="0"/>
    <s v="tier - 1"/>
    <x v="3"/>
    <n v="35"/>
  </r>
  <r>
    <x v="340"/>
    <x v="328"/>
    <n v="16.05"/>
    <n v="4.3499999999999996"/>
    <x v="1"/>
    <x v="0"/>
    <x v="0"/>
    <n v="0"/>
    <x v="0"/>
    <x v="3"/>
    <x v="2"/>
    <d v="1985-11-07T00:00:00"/>
    <x v="337"/>
    <x v="0"/>
    <s v="tier - 1"/>
    <x v="3"/>
    <n v="37"/>
  </r>
  <r>
    <x v="341"/>
    <x v="329"/>
    <n v="29.07"/>
    <n v="8.66"/>
    <x v="1"/>
    <x v="0"/>
    <x v="0"/>
    <n v="2"/>
    <x v="0"/>
    <x v="1"/>
    <x v="0"/>
    <d v="1958-06-05T00:00:00"/>
    <x v="338"/>
    <x v="0"/>
    <s v="tier - 2"/>
    <x v="1"/>
    <n v="65"/>
  </r>
  <r>
    <x v="342"/>
    <x v="330"/>
    <n v="17.43"/>
    <n v="8.64"/>
    <x v="0"/>
    <x v="0"/>
    <x v="0"/>
    <n v="0"/>
    <x v="0"/>
    <x v="3"/>
    <x v="0"/>
    <d v="1978-07-21T00:00:00"/>
    <x v="339"/>
    <x v="0"/>
    <s v="tier - 3"/>
    <x v="1"/>
    <n v="44"/>
  </r>
  <r>
    <x v="343"/>
    <x v="331"/>
    <n v="19.329999999999998"/>
    <n v="4.2699999999999996"/>
    <x v="0"/>
    <x v="0"/>
    <x v="0"/>
    <n v="0"/>
    <x v="0"/>
    <x v="2"/>
    <x v="2"/>
    <d v="1969-07-09T00:00:00"/>
    <x v="340"/>
    <x v="0"/>
    <s v="tier - 3"/>
    <x v="2"/>
    <n v="53"/>
  </r>
  <r>
    <x v="344"/>
    <x v="332"/>
    <n v="30.52"/>
    <n v="4.21"/>
    <x v="0"/>
    <x v="0"/>
    <x v="0"/>
    <n v="1"/>
    <x v="0"/>
    <x v="0"/>
    <x v="2"/>
    <d v="1976-11-08T00:00:00"/>
    <x v="341"/>
    <x v="0"/>
    <s v="tier - 2"/>
    <x v="3"/>
    <n v="46"/>
  </r>
  <r>
    <x v="345"/>
    <x v="333"/>
    <n v="39.21"/>
    <n v="5.04"/>
    <x v="0"/>
    <x v="0"/>
    <x v="1"/>
    <n v="1"/>
    <x v="0"/>
    <x v="0"/>
    <x v="2"/>
    <d v="1961-12-24T00:00:00"/>
    <x v="342"/>
    <x v="0"/>
    <s v="tier - 3"/>
    <x v="1"/>
    <n v="61"/>
  </r>
  <r>
    <x v="346"/>
    <x v="334"/>
    <n v="26.98"/>
    <n v="5.21"/>
    <x v="1"/>
    <x v="0"/>
    <x v="0"/>
    <n v="2"/>
    <x v="0"/>
    <x v="1"/>
    <x v="2"/>
    <d v="1978-11-29T00:00:00"/>
    <x v="343"/>
    <x v="0"/>
    <s v="tier - 1"/>
    <x v="3"/>
    <n v="44"/>
  </r>
  <r>
    <x v="347"/>
    <x v="335"/>
    <n v="25.84"/>
    <n v="8.83"/>
    <x v="0"/>
    <x v="0"/>
    <x v="0"/>
    <n v="0"/>
    <x v="1"/>
    <x v="1"/>
    <x v="0"/>
    <d v="1980-07-14T00:00:00"/>
    <x v="344"/>
    <x v="0"/>
    <s v="tier - 3"/>
    <x v="3"/>
    <n v="42"/>
  </r>
  <r>
    <x v="348"/>
    <x v="336"/>
    <n v="28.31"/>
    <n v="8.4700000000000006"/>
    <x v="1"/>
    <x v="0"/>
    <x v="0"/>
    <n v="2"/>
    <x v="0"/>
    <x v="1"/>
    <x v="0"/>
    <d v="1992-07-07T00:00:00"/>
    <x v="345"/>
    <x v="0"/>
    <s v="tier - 3"/>
    <x v="3"/>
    <n v="30"/>
  </r>
  <r>
    <x v="349"/>
    <x v="337"/>
    <n v="23.94"/>
    <n v="4.2"/>
    <x v="0"/>
    <x v="0"/>
    <x v="0"/>
    <n v="0"/>
    <x v="0"/>
    <x v="2"/>
    <x v="2"/>
    <d v="2003-09-01T00:00:00"/>
    <x v="346"/>
    <x v="0"/>
    <s v="tier - 3"/>
    <x v="3"/>
    <n v="19"/>
  </r>
  <r>
    <x v="350"/>
    <x v="338"/>
    <n v="20.03"/>
    <n v="6.14"/>
    <x v="1"/>
    <x v="0"/>
    <x v="0"/>
    <n v="0"/>
    <x v="0"/>
    <x v="2"/>
    <x v="1"/>
    <d v="1959-12-05T00:00:00"/>
    <x v="347"/>
    <x v="0"/>
    <s v="tier - 1"/>
    <x v="1"/>
    <n v="63"/>
  </r>
  <r>
    <x v="351"/>
    <x v="339"/>
    <n v="41.42"/>
    <n v="6.07"/>
    <x v="0"/>
    <x v="0"/>
    <x v="0"/>
    <n v="0"/>
    <x v="1"/>
    <x v="0"/>
    <x v="1"/>
    <d v="1962-07-25T00:00:00"/>
    <x v="348"/>
    <x v="0"/>
    <s v="tier - 1"/>
    <x v="1"/>
    <n v="60"/>
  </r>
  <r>
    <x v="352"/>
    <x v="79"/>
    <n v="36.67"/>
    <n v="10.210000000000001"/>
    <x v="0"/>
    <x v="0"/>
    <x v="0"/>
    <n v="0"/>
    <x v="1"/>
    <x v="0"/>
    <x v="0"/>
    <d v="1961-08-03T00:00:00"/>
    <x v="349"/>
    <x v="0"/>
    <s v="tier - 2"/>
    <x v="1"/>
    <n v="61"/>
  </r>
  <r>
    <x v="353"/>
    <x v="340"/>
    <n v="27.645"/>
    <n v="4.6900000000000004"/>
    <x v="0"/>
    <x v="0"/>
    <x v="0"/>
    <n v="0"/>
    <x v="1"/>
    <x v="1"/>
    <x v="2"/>
    <d v="1990-12-05T00:00:00"/>
    <x v="350"/>
    <x v="0"/>
    <s v="tier - 3"/>
    <x v="3"/>
    <n v="32"/>
  </r>
  <r>
    <x v="354"/>
    <x v="341"/>
    <n v="22.72"/>
    <n v="5.71"/>
    <x v="0"/>
    <x v="0"/>
    <x v="0"/>
    <n v="0"/>
    <x v="0"/>
    <x v="2"/>
    <x v="1"/>
    <d v="1985-09-27T00:00:00"/>
    <x v="351"/>
    <x v="0"/>
    <s v="tier - 3"/>
    <x v="3"/>
    <n v="37"/>
  </r>
  <r>
    <x v="355"/>
    <x v="342"/>
    <n v="36.520000000000003"/>
    <n v="9.07"/>
    <x v="1"/>
    <x v="0"/>
    <x v="1"/>
    <n v="1"/>
    <x v="1"/>
    <x v="0"/>
    <x v="0"/>
    <d v="1982-12-11T00:00:00"/>
    <x v="352"/>
    <x v="0"/>
    <s v="tier - 2"/>
    <x v="1"/>
    <n v="40"/>
  </r>
  <r>
    <x v="356"/>
    <x v="343"/>
    <n v="33.96"/>
    <n v="4.99"/>
    <x v="0"/>
    <x v="0"/>
    <x v="0"/>
    <n v="0"/>
    <x v="0"/>
    <x v="0"/>
    <x v="2"/>
    <d v="1974-09-16T00:00:00"/>
    <x v="353"/>
    <x v="0"/>
    <s v="tier - 1"/>
    <x v="1"/>
    <n v="48"/>
  </r>
  <r>
    <x v="357"/>
    <x v="344"/>
    <n v="26.695"/>
    <n v="8.31"/>
    <x v="0"/>
    <x v="0"/>
    <x v="0"/>
    <n v="0"/>
    <x v="0"/>
    <x v="1"/>
    <x v="0"/>
    <d v="1977-12-02T00:00:00"/>
    <x v="354"/>
    <x v="0"/>
    <s v="tier - 2"/>
    <x v="1"/>
    <n v="45"/>
  </r>
  <r>
    <x v="358"/>
    <x v="345"/>
    <n v="18.45"/>
    <n v="5.07"/>
    <x v="1"/>
    <x v="0"/>
    <x v="0"/>
    <n v="0"/>
    <x v="0"/>
    <x v="3"/>
    <x v="2"/>
    <d v="1990-12-24T00:00:00"/>
    <x v="355"/>
    <x v="0"/>
    <s v="tier - 2"/>
    <x v="3"/>
    <n v="32"/>
  </r>
  <r>
    <x v="359"/>
    <x v="186"/>
    <n v="33.18"/>
    <n v="4.79"/>
    <x v="0"/>
    <x v="0"/>
    <x v="0"/>
    <n v="0"/>
    <x v="0"/>
    <x v="0"/>
    <x v="2"/>
    <d v="1963-11-25T00:00:00"/>
    <x v="356"/>
    <x v="0"/>
    <s v="tier - 1"/>
    <x v="0"/>
    <n v="59"/>
  </r>
  <r>
    <x v="360"/>
    <x v="346"/>
    <n v="36.1"/>
    <n v="11.39"/>
    <x v="1"/>
    <x v="0"/>
    <x v="0"/>
    <n v="2"/>
    <x v="1"/>
    <x v="0"/>
    <x v="0"/>
    <d v="1999-09-06T00:00:00"/>
    <x v="357"/>
    <x v="0"/>
    <s v="tier - 3"/>
    <x v="3"/>
    <n v="23"/>
  </r>
  <r>
    <x v="361"/>
    <x v="347"/>
    <n v="22.77"/>
    <n v="6"/>
    <x v="0"/>
    <x v="0"/>
    <x v="0"/>
    <n v="0"/>
    <x v="0"/>
    <x v="2"/>
    <x v="1"/>
    <d v="1960-11-22T00:00:00"/>
    <x v="358"/>
    <x v="0"/>
    <s v="tier - 2"/>
    <x v="9"/>
    <n v="62"/>
  </r>
  <r>
    <x v="362"/>
    <x v="348"/>
    <n v="21.24"/>
    <n v="5.13"/>
    <x v="0"/>
    <x v="0"/>
    <x v="0"/>
    <n v="0"/>
    <x v="0"/>
    <x v="2"/>
    <x v="2"/>
    <d v="1985-11-29T00:00:00"/>
    <x v="359"/>
    <x v="0"/>
    <s v="tier - 2"/>
    <x v="3"/>
    <n v="37"/>
  </r>
  <r>
    <x v="363"/>
    <x v="349"/>
    <n v="17.600000000000001"/>
    <n v="5.26"/>
    <x v="1"/>
    <x v="0"/>
    <x v="0"/>
    <n v="0"/>
    <x v="0"/>
    <x v="3"/>
    <x v="2"/>
    <d v="1999-12-21T00:00:00"/>
    <x v="360"/>
    <x v="0"/>
    <s v="tier - 1"/>
    <x v="3"/>
    <n v="23"/>
  </r>
  <r>
    <x v="364"/>
    <x v="350"/>
    <n v="26.29"/>
    <n v="6.84"/>
    <x v="0"/>
    <x v="0"/>
    <x v="0"/>
    <n v="0"/>
    <x v="0"/>
    <x v="1"/>
    <x v="0"/>
    <d v="1961-07-28T00:00:00"/>
    <x v="361"/>
    <x v="0"/>
    <s v="tier - 3"/>
    <x v="3"/>
    <n v="61"/>
  </r>
  <r>
    <x v="365"/>
    <x v="351"/>
    <n v="35.31"/>
    <n v="9.0399999999999991"/>
    <x v="0"/>
    <x v="0"/>
    <x v="0"/>
    <n v="0"/>
    <x v="1"/>
    <x v="0"/>
    <x v="0"/>
    <d v="1991-06-04T00:00:00"/>
    <x v="362"/>
    <x v="0"/>
    <s v="tier - 3"/>
    <x v="3"/>
    <n v="32"/>
  </r>
  <r>
    <x v="366"/>
    <x v="352"/>
    <n v="27.04"/>
    <n v="4.0999999999999996"/>
    <x v="0"/>
    <x v="0"/>
    <x v="0"/>
    <n v="1"/>
    <x v="0"/>
    <x v="1"/>
    <x v="2"/>
    <d v="1989-11-21T00:00:00"/>
    <x v="363"/>
    <x v="0"/>
    <s v="tier - 2"/>
    <x v="3"/>
    <n v="33"/>
  </r>
  <r>
    <x v="367"/>
    <x v="353"/>
    <n v="30.23"/>
    <n v="4.2300000000000004"/>
    <x v="1"/>
    <x v="0"/>
    <x v="1"/>
    <n v="1"/>
    <x v="0"/>
    <x v="0"/>
    <x v="2"/>
    <d v="1985-12-04T00:00:00"/>
    <x v="364"/>
    <x v="0"/>
    <s v="tier - 1"/>
    <x v="3"/>
    <n v="37"/>
  </r>
  <r>
    <x v="368"/>
    <x v="354"/>
    <n v="30.6"/>
    <n v="6.48"/>
    <x v="1"/>
    <x v="0"/>
    <x v="1"/>
    <n v="1"/>
    <x v="0"/>
    <x v="0"/>
    <x v="1"/>
    <d v="1960-07-06T00:00:00"/>
    <x v="365"/>
    <x v="0"/>
    <s v="tier - 1"/>
    <x v="0"/>
    <n v="62"/>
  </r>
  <r>
    <x v="369"/>
    <x v="355"/>
    <n v="26.8"/>
    <n v="5.53"/>
    <x v="0"/>
    <x v="0"/>
    <x v="0"/>
    <n v="1"/>
    <x v="0"/>
    <x v="1"/>
    <x v="2"/>
    <d v="2002-12-06T00:00:00"/>
    <x v="366"/>
    <x v="0"/>
    <s v="tier - 3"/>
    <x v="0"/>
    <n v="20"/>
  </r>
  <r>
    <x v="370"/>
    <x v="356"/>
    <n v="16.86"/>
    <n v="4.07"/>
    <x v="1"/>
    <x v="0"/>
    <x v="0"/>
    <n v="0"/>
    <x v="0"/>
    <x v="3"/>
    <x v="2"/>
    <d v="1992-07-03T00:00:00"/>
    <x v="367"/>
    <x v="0"/>
    <s v="tier - 2"/>
    <x v="3"/>
    <n v="30"/>
  </r>
  <r>
    <x v="371"/>
    <x v="357"/>
    <n v="16.3"/>
    <n v="5.51"/>
    <x v="0"/>
    <x v="0"/>
    <x v="0"/>
    <n v="1"/>
    <x v="0"/>
    <x v="3"/>
    <x v="2"/>
    <d v="1997-10-07T00:00:00"/>
    <x v="368"/>
    <x v="0"/>
    <s v="tier - 1"/>
    <x v="3"/>
    <n v="25"/>
  </r>
  <r>
    <x v="372"/>
    <x v="358"/>
    <n v="29.81"/>
    <n v="11.66"/>
    <x v="0"/>
    <x v="0"/>
    <x v="0"/>
    <n v="0"/>
    <x v="0"/>
    <x v="1"/>
    <x v="0"/>
    <d v="1997-09-09T00:00:00"/>
    <x v="369"/>
    <x v="1"/>
    <s v="tier - 3"/>
    <x v="3"/>
    <n v="25"/>
  </r>
  <r>
    <x v="373"/>
    <x v="359"/>
    <n v="16.329999999999998"/>
    <n v="7.26"/>
    <x v="1"/>
    <x v="0"/>
    <x v="0"/>
    <n v="0"/>
    <x v="0"/>
    <x v="3"/>
    <x v="0"/>
    <d v="1992-06-11T00:00:00"/>
    <x v="370"/>
    <x v="1"/>
    <s v="tier - 3"/>
    <x v="3"/>
    <n v="30"/>
  </r>
  <r>
    <x v="374"/>
    <x v="360"/>
    <n v="16.37"/>
    <n v="4.79"/>
    <x v="1"/>
    <x v="0"/>
    <x v="0"/>
    <n v="0"/>
    <x v="0"/>
    <x v="3"/>
    <x v="2"/>
    <d v="1985-11-06T00:00:00"/>
    <x v="371"/>
    <x v="1"/>
    <s v="tier - 1"/>
    <x v="3"/>
    <n v="37"/>
  </r>
  <r>
    <x v="375"/>
    <x v="361"/>
    <n v="22.42"/>
    <n v="4.68"/>
    <x v="1"/>
    <x v="0"/>
    <x v="0"/>
    <n v="1"/>
    <x v="1"/>
    <x v="2"/>
    <x v="2"/>
    <d v="1984-07-22T00:00:00"/>
    <x v="372"/>
    <x v="1"/>
    <s v="tier - 2"/>
    <x v="3"/>
    <n v="38"/>
  </r>
  <r>
    <x v="376"/>
    <x v="362"/>
    <n v="31.35"/>
    <n v="4.33"/>
    <x v="1"/>
    <x v="0"/>
    <x v="1"/>
    <n v="1"/>
    <x v="1"/>
    <x v="0"/>
    <x v="2"/>
    <d v="1965-10-19T00:00:00"/>
    <x v="373"/>
    <x v="1"/>
    <s v="tier - 3"/>
    <x v="0"/>
    <n v="57"/>
  </r>
  <r>
    <x v="377"/>
    <x v="363"/>
    <n v="31.9"/>
    <n v="11.89"/>
    <x v="0"/>
    <x v="0"/>
    <x v="0"/>
    <n v="0"/>
    <x v="1"/>
    <x v="0"/>
    <x v="0"/>
    <d v="1981-10-03T00:00:00"/>
    <x v="374"/>
    <x v="1"/>
    <s v="tier - 1"/>
    <x v="3"/>
    <n v="41"/>
  </r>
  <r>
    <x v="378"/>
    <x v="364"/>
    <n v="30.6"/>
    <n v="5.24"/>
    <x v="0"/>
    <x v="0"/>
    <x v="0"/>
    <n v="0"/>
    <x v="0"/>
    <x v="0"/>
    <x v="2"/>
    <d v="1985-12-05T00:00:00"/>
    <x v="375"/>
    <x v="1"/>
    <s v="tier - 1"/>
    <x v="3"/>
    <n v="37"/>
  </r>
  <r>
    <x v="379"/>
    <x v="365"/>
    <n v="28.975000000000001"/>
    <n v="7.63"/>
    <x v="0"/>
    <x v="0"/>
    <x v="0"/>
    <n v="0"/>
    <x v="0"/>
    <x v="1"/>
    <x v="0"/>
    <d v="1988-09-15T00:00:00"/>
    <x v="376"/>
    <x v="1"/>
    <s v="tier - 3"/>
    <x v="5"/>
    <n v="34"/>
  </r>
  <r>
    <x v="380"/>
    <x v="366"/>
    <n v="24.86"/>
    <n v="8.92"/>
    <x v="1"/>
    <x v="0"/>
    <x v="0"/>
    <n v="2"/>
    <x v="1"/>
    <x v="2"/>
    <x v="0"/>
    <d v="1969-10-16T00:00:00"/>
    <x v="377"/>
    <x v="1"/>
    <s v="tier - 2"/>
    <x v="0"/>
    <n v="53"/>
  </r>
  <r>
    <x v="381"/>
    <x v="367"/>
    <n v="19.54"/>
    <n v="5.37"/>
    <x v="0"/>
    <x v="0"/>
    <x v="0"/>
    <n v="0"/>
    <x v="0"/>
    <x v="2"/>
    <x v="2"/>
    <d v="1968-06-06T00:00:00"/>
    <x v="378"/>
    <x v="1"/>
    <s v="tier - 2"/>
    <x v="0"/>
    <n v="55"/>
  </r>
  <r>
    <x v="382"/>
    <x v="368"/>
    <n v="26.74"/>
    <n v="4.3099999999999996"/>
    <x v="0"/>
    <x v="0"/>
    <x v="0"/>
    <n v="0"/>
    <x v="0"/>
    <x v="1"/>
    <x v="2"/>
    <d v="1999-12-02T00:00:00"/>
    <x v="379"/>
    <x v="1"/>
    <s v="tier - 1"/>
    <x v="3"/>
    <n v="23"/>
  </r>
  <r>
    <x v="383"/>
    <x v="369"/>
    <n v="22.99"/>
    <n v="10.46"/>
    <x v="0"/>
    <x v="0"/>
    <x v="0"/>
    <n v="3"/>
    <x v="0"/>
    <x v="2"/>
    <x v="0"/>
    <d v="1965-12-21T00:00:00"/>
    <x v="380"/>
    <x v="1"/>
    <s v="tier - 1"/>
    <x v="6"/>
    <n v="57"/>
  </r>
  <r>
    <x v="384"/>
    <x v="370"/>
    <n v="31.46"/>
    <n v="7.39"/>
    <x v="0"/>
    <x v="0"/>
    <x v="0"/>
    <n v="0"/>
    <x v="1"/>
    <x v="0"/>
    <x v="0"/>
    <d v="1970-10-02T00:00:00"/>
    <x v="381"/>
    <x v="1"/>
    <s v="tier - 2"/>
    <x v="0"/>
    <n v="52"/>
  </r>
  <r>
    <x v="385"/>
    <x v="371"/>
    <n v="30.86"/>
    <n v="6.18"/>
    <x v="0"/>
    <x v="1"/>
    <x v="0"/>
    <n v="2"/>
    <x v="0"/>
    <x v="0"/>
    <x v="1"/>
    <d v="1990-12-13T00:00:00"/>
    <x v="382"/>
    <x v="1"/>
    <s v="tier - 3"/>
    <x v="3"/>
    <n v="32"/>
  </r>
  <r>
    <x v="386"/>
    <x v="372"/>
    <n v="31.96"/>
    <n v="8.86"/>
    <x v="0"/>
    <x v="0"/>
    <x v="0"/>
    <n v="0"/>
    <x v="0"/>
    <x v="0"/>
    <x v="0"/>
    <d v="1994-07-02T00:00:00"/>
    <x v="383"/>
    <x v="1"/>
    <s v="tier - 2"/>
    <x v="3"/>
    <n v="28"/>
  </r>
  <r>
    <x v="387"/>
    <x v="373"/>
    <n v="23.76"/>
    <n v="10.96"/>
    <x v="0"/>
    <x v="0"/>
    <x v="0"/>
    <n v="3"/>
    <x v="0"/>
    <x v="2"/>
    <x v="0"/>
    <d v="1958-06-30T00:00:00"/>
    <x v="384"/>
    <x v="1"/>
    <s v="tier - 2"/>
    <x v="0"/>
    <n v="64"/>
  </r>
  <r>
    <x v="388"/>
    <x v="374"/>
    <n v="19.38"/>
    <n v="6.28"/>
    <x v="0"/>
    <x v="0"/>
    <x v="0"/>
    <n v="0"/>
    <x v="0"/>
    <x v="2"/>
    <x v="1"/>
    <d v="1960-07-09T00:00:00"/>
    <x v="385"/>
    <x v="1"/>
    <s v="tier - 2"/>
    <x v="0"/>
    <n v="62"/>
  </r>
  <r>
    <x v="389"/>
    <x v="375"/>
    <n v="16.21"/>
    <n v="6.29"/>
    <x v="1"/>
    <x v="0"/>
    <x v="0"/>
    <n v="1"/>
    <x v="0"/>
    <x v="3"/>
    <x v="1"/>
    <d v="2000-11-09T00:00:00"/>
    <x v="386"/>
    <x v="1"/>
    <s v="tier - 3"/>
    <x v="3"/>
    <n v="22"/>
  </r>
  <r>
    <x v="390"/>
    <x v="376"/>
    <n v="32.54"/>
    <n v="4.0199999999999996"/>
    <x v="0"/>
    <x v="1"/>
    <x v="0"/>
    <n v="1"/>
    <x v="0"/>
    <x v="0"/>
    <x v="2"/>
    <d v="2002-06-17T00:00:00"/>
    <x v="387"/>
    <x v="1"/>
    <s v="tier - 2"/>
    <x v="3"/>
    <n v="20"/>
  </r>
  <r>
    <x v="391"/>
    <x v="377"/>
    <n v="36.765000000000001"/>
    <n v="11.95"/>
    <x v="1"/>
    <x v="0"/>
    <x v="0"/>
    <n v="2"/>
    <x v="1"/>
    <x v="0"/>
    <x v="0"/>
    <d v="1958-12-25T00:00:00"/>
    <x v="388"/>
    <x v="1"/>
    <s v="tier - 1"/>
    <x v="0"/>
    <n v="64"/>
  </r>
  <r>
    <x v="392"/>
    <x v="378"/>
    <n v="35.909999999999997"/>
    <n v="8.7100000000000009"/>
    <x v="0"/>
    <x v="0"/>
    <x v="0"/>
    <n v="0"/>
    <x v="1"/>
    <x v="0"/>
    <x v="0"/>
    <d v="1991-08-22T00:00:00"/>
    <x v="389"/>
    <x v="1"/>
    <s v="tier - 2"/>
    <x v="3"/>
    <n v="31"/>
  </r>
  <r>
    <x v="393"/>
    <x v="203"/>
    <n v="32.06"/>
    <n v="4.67"/>
    <x v="0"/>
    <x v="1"/>
    <x v="0"/>
    <n v="1"/>
    <x v="0"/>
    <x v="0"/>
    <x v="2"/>
    <d v="1988-07-22T00:00:00"/>
    <x v="390"/>
    <x v="1"/>
    <s v="tier - 1"/>
    <x v="3"/>
    <n v="34"/>
  </r>
  <r>
    <x v="394"/>
    <x v="379"/>
    <n v="24.1"/>
    <n v="11.14"/>
    <x v="1"/>
    <x v="0"/>
    <x v="0"/>
    <n v="1"/>
    <x v="1"/>
    <x v="2"/>
    <x v="0"/>
    <d v="2004-09-05T00:00:00"/>
    <x v="391"/>
    <x v="1"/>
    <s v="tier - 2"/>
    <x v="3"/>
    <n v="18"/>
  </r>
  <r>
    <x v="395"/>
    <x v="380"/>
    <n v="27.1"/>
    <n v="9.0500000000000007"/>
    <x v="0"/>
    <x v="0"/>
    <x v="0"/>
    <n v="2"/>
    <x v="1"/>
    <x v="1"/>
    <x v="0"/>
    <d v="1970-08-27T00:00:00"/>
    <x v="392"/>
    <x v="1"/>
    <s v="tier - 3"/>
    <x v="1"/>
    <n v="52"/>
  </r>
  <r>
    <x v="396"/>
    <x v="381"/>
    <n v="24.42"/>
    <n v="11.31"/>
    <x v="0"/>
    <x v="0"/>
    <x v="0"/>
    <n v="0"/>
    <x v="0"/>
    <x v="2"/>
    <x v="0"/>
    <d v="1974-09-21T00:00:00"/>
    <x v="393"/>
    <x v="1"/>
    <s v="tier - 2"/>
    <x v="2"/>
    <n v="48"/>
  </r>
  <r>
    <x v="397"/>
    <x v="382"/>
    <n v="26.695"/>
    <n v="4.68"/>
    <x v="1"/>
    <x v="0"/>
    <x v="0"/>
    <n v="2"/>
    <x v="0"/>
    <x v="1"/>
    <x v="2"/>
    <d v="2004-12-05T00:00:00"/>
    <x v="394"/>
    <x v="1"/>
    <s v="tier - 3"/>
    <x v="3"/>
    <n v="18"/>
  </r>
  <r>
    <x v="398"/>
    <x v="383"/>
    <n v="27.79"/>
    <n v="6.05"/>
    <x v="1"/>
    <x v="1"/>
    <x v="0"/>
    <n v="1"/>
    <x v="0"/>
    <x v="1"/>
    <x v="1"/>
    <d v="1975-06-04T00:00:00"/>
    <x v="395"/>
    <x v="1"/>
    <s v="tier - 1"/>
    <x v="3"/>
    <n v="48"/>
  </r>
  <r>
    <x v="399"/>
    <x v="384"/>
    <n v="32.68"/>
    <n v="4.68"/>
    <x v="1"/>
    <x v="0"/>
    <x v="0"/>
    <n v="0"/>
    <x v="1"/>
    <x v="0"/>
    <x v="2"/>
    <d v="1973-07-07T00:00:00"/>
    <x v="396"/>
    <x v="1"/>
    <s v="tier - 3"/>
    <x v="3"/>
    <n v="49"/>
  </r>
  <r>
    <x v="400"/>
    <x v="385"/>
    <n v="26.4"/>
    <n v="9.5"/>
    <x v="1"/>
    <x v="0"/>
    <x v="0"/>
    <n v="2"/>
    <x v="1"/>
    <x v="1"/>
    <x v="0"/>
    <d v="2002-10-11T00:00:00"/>
    <x v="397"/>
    <x v="1"/>
    <s v="tier - 1"/>
    <x v="0"/>
    <n v="20"/>
  </r>
  <r>
    <x v="401"/>
    <x v="386"/>
    <n v="23.655000000000001"/>
    <n v="10.84"/>
    <x v="1"/>
    <x v="0"/>
    <x v="1"/>
    <n v="1"/>
    <x v="0"/>
    <x v="2"/>
    <x v="0"/>
    <d v="1966-07-09T00:00:00"/>
    <x v="398"/>
    <x v="1"/>
    <s v="tier - 3"/>
    <x v="1"/>
    <n v="56"/>
  </r>
  <r>
    <x v="402"/>
    <x v="387"/>
    <n v="27.36"/>
    <n v="5.88"/>
    <x v="0"/>
    <x v="0"/>
    <x v="0"/>
    <n v="2"/>
    <x v="1"/>
    <x v="1"/>
    <x v="1"/>
    <d v="2000-12-26T00:00:00"/>
    <x v="399"/>
    <x v="1"/>
    <s v="tier - 3"/>
    <x v="3"/>
    <n v="22"/>
  </r>
  <r>
    <x v="403"/>
    <x v="388"/>
    <n v="27.82"/>
    <n v="5.24"/>
    <x v="1"/>
    <x v="0"/>
    <x v="0"/>
    <n v="0"/>
    <x v="0"/>
    <x v="1"/>
    <x v="2"/>
    <d v="2001-06-05T00:00:00"/>
    <x v="400"/>
    <x v="1"/>
    <s v="tier - 2"/>
    <x v="1"/>
    <n v="22"/>
  </r>
  <r>
    <x v="404"/>
    <x v="389"/>
    <n v="25.46"/>
    <n v="11.75"/>
    <x v="0"/>
    <x v="0"/>
    <x v="0"/>
    <n v="0"/>
    <x v="1"/>
    <x v="1"/>
    <x v="0"/>
    <d v="1970-12-03T00:00:00"/>
    <x v="401"/>
    <x v="1"/>
    <s v="tier - 2"/>
    <x v="0"/>
    <n v="52"/>
  </r>
  <r>
    <x v="405"/>
    <x v="390"/>
    <n v="25.1"/>
    <n v="6.97"/>
    <x v="0"/>
    <x v="0"/>
    <x v="0"/>
    <n v="0"/>
    <x v="0"/>
    <x v="1"/>
    <x v="0"/>
    <d v="1963-08-21T00:00:00"/>
    <x v="402"/>
    <x v="1"/>
    <s v="tier - 3"/>
    <x v="1"/>
    <n v="59"/>
  </r>
  <r>
    <x v="406"/>
    <x v="391"/>
    <n v="32.11"/>
    <n v="4.76"/>
    <x v="0"/>
    <x v="0"/>
    <x v="0"/>
    <n v="2"/>
    <x v="1"/>
    <x v="0"/>
    <x v="2"/>
    <d v="1972-07-17T00:00:00"/>
    <x v="403"/>
    <x v="1"/>
    <s v="tier - 3"/>
    <x v="2"/>
    <n v="50"/>
  </r>
  <r>
    <x v="407"/>
    <x v="392"/>
    <n v="29.8"/>
    <n v="8.24"/>
    <x v="1"/>
    <x v="0"/>
    <x v="0"/>
    <n v="1"/>
    <x v="0"/>
    <x v="1"/>
    <x v="0"/>
    <d v="2001-08-02T00:00:00"/>
    <x v="404"/>
    <x v="1"/>
    <s v="tier - 1"/>
    <x v="3"/>
    <n v="21"/>
  </r>
  <r>
    <x v="408"/>
    <x v="393"/>
    <n v="24.01"/>
    <n v="4.76"/>
    <x v="0"/>
    <x v="0"/>
    <x v="0"/>
    <n v="1"/>
    <x v="0"/>
    <x v="2"/>
    <x v="2"/>
    <d v="1968-12-11T00:00:00"/>
    <x v="405"/>
    <x v="1"/>
    <s v="tier - 3"/>
    <x v="6"/>
    <n v="54"/>
  </r>
  <r>
    <x v="409"/>
    <x v="394"/>
    <n v="23.21"/>
    <n v="6.03"/>
    <x v="0"/>
    <x v="0"/>
    <x v="0"/>
    <n v="1"/>
    <x v="1"/>
    <x v="2"/>
    <x v="1"/>
    <d v="1968-08-22T00:00:00"/>
    <x v="406"/>
    <x v="1"/>
    <s v="tier - 2"/>
    <x v="3"/>
    <n v="54"/>
  </r>
  <r>
    <x v="410"/>
    <x v="395"/>
    <n v="21.2"/>
    <n v="4.07"/>
    <x v="1"/>
    <x v="0"/>
    <x v="0"/>
    <n v="1"/>
    <x v="0"/>
    <x v="2"/>
    <x v="2"/>
    <d v="1972-09-26T00:00:00"/>
    <x v="407"/>
    <x v="1"/>
    <s v="tier - 2"/>
    <x v="6"/>
    <n v="50"/>
  </r>
  <r>
    <x v="411"/>
    <x v="396"/>
    <n v="28.215"/>
    <n v="8.26"/>
    <x v="1"/>
    <x v="0"/>
    <x v="0"/>
    <n v="1"/>
    <x v="0"/>
    <x v="1"/>
    <x v="0"/>
    <d v="1975-12-14T00:00:00"/>
    <x v="408"/>
    <x v="1"/>
    <s v="tier - 1"/>
    <x v="3"/>
    <n v="47"/>
  </r>
  <r>
    <x v="412"/>
    <x v="397"/>
    <n v="38.094999999999999"/>
    <n v="4.76"/>
    <x v="0"/>
    <x v="0"/>
    <x v="0"/>
    <n v="1"/>
    <x v="1"/>
    <x v="0"/>
    <x v="2"/>
    <d v="1998-11-24T00:00:00"/>
    <x v="409"/>
    <x v="1"/>
    <s v="tier - 3"/>
    <x v="3"/>
    <n v="24"/>
  </r>
  <r>
    <x v="413"/>
    <x v="398"/>
    <n v="22.61"/>
    <n v="6.13"/>
    <x v="1"/>
    <x v="0"/>
    <x v="1"/>
    <n v="1"/>
    <x v="0"/>
    <x v="2"/>
    <x v="1"/>
    <d v="1998-06-14T00:00:00"/>
    <x v="410"/>
    <x v="1"/>
    <s v="tier - 2"/>
    <x v="0"/>
    <n v="24"/>
  </r>
  <r>
    <x v="414"/>
    <x v="399"/>
    <n v="24.32"/>
    <n v="10.47"/>
    <x v="1"/>
    <x v="0"/>
    <x v="0"/>
    <n v="2"/>
    <x v="0"/>
    <x v="2"/>
    <x v="0"/>
    <d v="1995-12-04T00:00:00"/>
    <x v="411"/>
    <x v="1"/>
    <s v="tier - 2"/>
    <x v="3"/>
    <n v="27"/>
  </r>
  <r>
    <x v="415"/>
    <x v="400"/>
    <n v="20.96"/>
    <n v="4.04"/>
    <x v="1"/>
    <x v="0"/>
    <x v="0"/>
    <n v="1"/>
    <x v="0"/>
    <x v="2"/>
    <x v="2"/>
    <d v="1975-11-14T00:00:00"/>
    <x v="412"/>
    <x v="1"/>
    <s v="tier - 3"/>
    <x v="1"/>
    <n v="47"/>
  </r>
  <r>
    <x v="416"/>
    <x v="401"/>
    <n v="19.68"/>
    <n v="5.74"/>
    <x v="0"/>
    <x v="0"/>
    <x v="0"/>
    <n v="0"/>
    <x v="0"/>
    <x v="2"/>
    <x v="1"/>
    <d v="1987-06-14T00:00:00"/>
    <x v="413"/>
    <x v="1"/>
    <s v="tier - 1"/>
    <x v="2"/>
    <n v="35"/>
  </r>
  <r>
    <x v="417"/>
    <x v="402"/>
    <n v="18.100000000000001"/>
    <n v="6.33"/>
    <x v="0"/>
    <x v="0"/>
    <x v="0"/>
    <n v="1"/>
    <x v="0"/>
    <x v="3"/>
    <x v="1"/>
    <d v="1969-07-23T00:00:00"/>
    <x v="414"/>
    <x v="1"/>
    <s v="tier - 1"/>
    <x v="2"/>
    <n v="53"/>
  </r>
  <r>
    <x v="418"/>
    <x v="403"/>
    <n v="29.64"/>
    <n v="4.28"/>
    <x v="1"/>
    <x v="0"/>
    <x v="0"/>
    <n v="0"/>
    <x v="1"/>
    <x v="1"/>
    <x v="2"/>
    <d v="1970-11-26T00:00:00"/>
    <x v="415"/>
    <x v="1"/>
    <s v="tier - 2"/>
    <x v="4"/>
    <n v="52"/>
  </r>
  <r>
    <x v="419"/>
    <x v="404"/>
    <n v="25.3"/>
    <n v="9.4700000000000006"/>
    <x v="1"/>
    <x v="0"/>
    <x v="0"/>
    <n v="2"/>
    <x v="0"/>
    <x v="1"/>
    <x v="0"/>
    <d v="1995-06-10T00:00:00"/>
    <x v="416"/>
    <x v="1"/>
    <s v="tier - 3"/>
    <x v="3"/>
    <n v="27"/>
  </r>
  <r>
    <x v="420"/>
    <x v="405"/>
    <n v="27.6"/>
    <n v="4.8499999999999996"/>
    <x v="1"/>
    <x v="0"/>
    <x v="0"/>
    <n v="0"/>
    <x v="1"/>
    <x v="1"/>
    <x v="2"/>
    <d v="1994-09-09T00:00:00"/>
    <x v="417"/>
    <x v="1"/>
    <s v="tier - 2"/>
    <x v="3"/>
    <n v="28"/>
  </r>
  <r>
    <x v="421"/>
    <x v="109"/>
    <n v="27.645"/>
    <n v="11.03"/>
    <x v="1"/>
    <x v="0"/>
    <x v="0"/>
    <n v="1"/>
    <x v="0"/>
    <x v="1"/>
    <x v="0"/>
    <d v="1992-10-11T00:00:00"/>
    <x v="418"/>
    <x v="1"/>
    <s v="tier - 3"/>
    <x v="3"/>
    <n v="30"/>
  </r>
  <r>
    <x v="422"/>
    <x v="406"/>
    <n v="27.6"/>
    <n v="5.22"/>
    <x v="0"/>
    <x v="0"/>
    <x v="0"/>
    <n v="2"/>
    <x v="0"/>
    <x v="1"/>
    <x v="2"/>
    <d v="1996-08-28T00:00:00"/>
    <x v="419"/>
    <x v="1"/>
    <s v="tier - 1"/>
    <x v="2"/>
    <n v="26"/>
  </r>
  <r>
    <x v="423"/>
    <x v="407"/>
    <n v="25.08"/>
    <n v="9.52"/>
    <x v="1"/>
    <x v="0"/>
    <x v="0"/>
    <n v="2"/>
    <x v="1"/>
    <x v="1"/>
    <x v="0"/>
    <d v="1970-06-12T00:00:00"/>
    <x v="420"/>
    <x v="1"/>
    <s v="tier - 3"/>
    <x v="0"/>
    <n v="52"/>
  </r>
  <r>
    <x v="424"/>
    <x v="408"/>
    <n v="30.02"/>
    <n v="11.09"/>
    <x v="0"/>
    <x v="0"/>
    <x v="0"/>
    <n v="0"/>
    <x v="1"/>
    <x v="0"/>
    <x v="0"/>
    <d v="1976-10-12T00:00:00"/>
    <x v="421"/>
    <x v="1"/>
    <s v="tier - 2"/>
    <x v="3"/>
    <n v="46"/>
  </r>
  <r>
    <x v="425"/>
    <x v="409"/>
    <n v="27.36"/>
    <n v="9.4499999999999993"/>
    <x v="1"/>
    <x v="0"/>
    <x v="0"/>
    <n v="2"/>
    <x v="0"/>
    <x v="1"/>
    <x v="0"/>
    <d v="1975-06-13T00:00:00"/>
    <x v="422"/>
    <x v="1"/>
    <s v="tier - 2"/>
    <x v="1"/>
    <n v="47"/>
  </r>
  <r>
    <x v="426"/>
    <x v="410"/>
    <n v="22.2"/>
    <n v="5.51"/>
    <x v="0"/>
    <x v="0"/>
    <x v="0"/>
    <n v="0"/>
    <x v="0"/>
    <x v="2"/>
    <x v="2"/>
    <d v="1972-09-14T00:00:00"/>
    <x v="423"/>
    <x v="1"/>
    <s v="tier - 3"/>
    <x v="3"/>
    <n v="50"/>
  </r>
  <r>
    <x v="427"/>
    <x v="411"/>
    <n v="25.71"/>
    <n v="4.18"/>
    <x v="0"/>
    <x v="1"/>
    <x v="0"/>
    <n v="1"/>
    <x v="0"/>
    <x v="1"/>
    <x v="2"/>
    <d v="1961-10-21T00:00:00"/>
    <x v="424"/>
    <x v="1"/>
    <s v="tier - 2"/>
    <x v="0"/>
    <n v="61"/>
  </r>
  <r>
    <x v="428"/>
    <x v="412"/>
    <n v="41.91"/>
    <n v="5.98"/>
    <x v="1"/>
    <x v="0"/>
    <x v="0"/>
    <n v="1"/>
    <x v="1"/>
    <x v="0"/>
    <x v="1"/>
    <d v="1968-07-06T00:00:00"/>
    <x v="425"/>
    <x v="1"/>
    <s v="tier - 2"/>
    <x v="1"/>
    <n v="54"/>
  </r>
  <r>
    <x v="429"/>
    <x v="413"/>
    <n v="25.85"/>
    <n v="10.16"/>
    <x v="0"/>
    <x v="0"/>
    <x v="0"/>
    <n v="0"/>
    <x v="0"/>
    <x v="1"/>
    <x v="0"/>
    <d v="1970-11-30T00:00:00"/>
    <x v="426"/>
    <x v="1"/>
    <s v="tier - 3"/>
    <x v="1"/>
    <n v="52"/>
  </r>
  <r>
    <x v="430"/>
    <x v="414"/>
    <n v="23.844999999999999"/>
    <n v="11.71"/>
    <x v="0"/>
    <x v="0"/>
    <x v="0"/>
    <n v="2"/>
    <x v="0"/>
    <x v="2"/>
    <x v="0"/>
    <d v="1999-10-07T00:00:00"/>
    <x v="427"/>
    <x v="1"/>
    <s v="tier - 1"/>
    <x v="3"/>
    <n v="23"/>
  </r>
  <r>
    <x v="431"/>
    <x v="415"/>
    <n v="30.59"/>
    <n v="5.23"/>
    <x v="0"/>
    <x v="0"/>
    <x v="1"/>
    <n v="1"/>
    <x v="1"/>
    <x v="0"/>
    <x v="2"/>
    <d v="2004-08-03T00:00:00"/>
    <x v="428"/>
    <x v="1"/>
    <s v="tier - 1"/>
    <x v="3"/>
    <n v="18"/>
  </r>
  <r>
    <x v="432"/>
    <x v="416"/>
    <n v="24.795000000000002"/>
    <n v="6.85"/>
    <x v="0"/>
    <x v="0"/>
    <x v="0"/>
    <n v="0"/>
    <x v="0"/>
    <x v="2"/>
    <x v="0"/>
    <d v="1964-12-16T00:00:00"/>
    <x v="429"/>
    <x v="1"/>
    <s v="tier - 1"/>
    <x v="0"/>
    <n v="58"/>
  </r>
  <r>
    <x v="433"/>
    <x v="417"/>
    <n v="24.13"/>
    <n v="7.05"/>
    <x v="1"/>
    <x v="0"/>
    <x v="0"/>
    <n v="2"/>
    <x v="0"/>
    <x v="2"/>
    <x v="0"/>
    <d v="1974-09-10T00:00:00"/>
    <x v="430"/>
    <x v="1"/>
    <s v="tier - 1"/>
    <x v="0"/>
    <n v="48"/>
  </r>
  <r>
    <x v="434"/>
    <x v="418"/>
    <n v="25.84"/>
    <n v="11.64"/>
    <x v="0"/>
    <x v="0"/>
    <x v="0"/>
    <n v="2"/>
    <x v="0"/>
    <x v="1"/>
    <x v="0"/>
    <d v="1973-06-13T00:00:00"/>
    <x v="431"/>
    <x v="1"/>
    <s v="tier - 2"/>
    <x v="2"/>
    <n v="49"/>
  </r>
  <r>
    <x v="435"/>
    <x v="419"/>
    <n v="28"/>
    <n v="10.52"/>
    <x v="0"/>
    <x v="0"/>
    <x v="0"/>
    <n v="0"/>
    <x v="0"/>
    <x v="1"/>
    <x v="0"/>
    <d v="2003-12-30T00:00:00"/>
    <x v="432"/>
    <x v="1"/>
    <s v="tier - 2"/>
    <x v="1"/>
    <n v="19"/>
  </r>
  <r>
    <x v="436"/>
    <x v="420"/>
    <n v="34.1"/>
    <n v="4.01"/>
    <x v="1"/>
    <x v="0"/>
    <x v="1"/>
    <n v="1"/>
    <x v="1"/>
    <x v="0"/>
    <x v="2"/>
    <d v="1971-07-10T00:00:00"/>
    <x v="433"/>
    <x v="1"/>
    <s v="tier - 2"/>
    <x v="1"/>
    <n v="51"/>
  </r>
  <r>
    <x v="437"/>
    <x v="421"/>
    <n v="26.125"/>
    <n v="8.56"/>
    <x v="1"/>
    <x v="0"/>
    <x v="0"/>
    <n v="1"/>
    <x v="0"/>
    <x v="1"/>
    <x v="0"/>
    <d v="1970-08-08T00:00:00"/>
    <x v="434"/>
    <x v="1"/>
    <s v="tier - 3"/>
    <x v="1"/>
    <n v="52"/>
  </r>
  <r>
    <x v="438"/>
    <x v="422"/>
    <n v="25.6"/>
    <n v="10.5"/>
    <x v="0"/>
    <x v="0"/>
    <x v="0"/>
    <n v="2"/>
    <x v="0"/>
    <x v="1"/>
    <x v="0"/>
    <d v="1973-06-27T00:00:00"/>
    <x v="435"/>
    <x v="1"/>
    <s v="tier - 3"/>
    <x v="1"/>
    <n v="49"/>
  </r>
  <r>
    <x v="439"/>
    <x v="423"/>
    <n v="24.32"/>
    <n v="6.39"/>
    <x v="0"/>
    <x v="0"/>
    <x v="0"/>
    <n v="0"/>
    <x v="1"/>
    <x v="2"/>
    <x v="1"/>
    <d v="1974-06-02T00:00:00"/>
    <x v="436"/>
    <x v="1"/>
    <s v="tier - 2"/>
    <x v="3"/>
    <n v="49"/>
  </r>
  <r>
    <x v="440"/>
    <x v="424"/>
    <n v="22.88"/>
    <n v="5.71"/>
    <x v="1"/>
    <x v="0"/>
    <x v="1"/>
    <n v="1"/>
    <x v="0"/>
    <x v="2"/>
    <x v="1"/>
    <d v="1983-08-26T00:00:00"/>
    <x v="437"/>
    <x v="1"/>
    <s v="tier - 2"/>
    <x v="0"/>
    <n v="39"/>
  </r>
  <r>
    <x v="441"/>
    <x v="425"/>
    <n v="24.984999999999999"/>
    <n v="4.43"/>
    <x v="1"/>
    <x v="0"/>
    <x v="1"/>
    <n v="1"/>
    <x v="1"/>
    <x v="2"/>
    <x v="2"/>
    <d v="1975-11-13T00:00:00"/>
    <x v="438"/>
    <x v="1"/>
    <s v="tier - 3"/>
    <x v="2"/>
    <n v="47"/>
  </r>
  <r>
    <x v="442"/>
    <x v="68"/>
    <n v="33.1"/>
    <n v="5.52"/>
    <x v="0"/>
    <x v="0"/>
    <x v="1"/>
    <n v="1"/>
    <x v="1"/>
    <x v="0"/>
    <x v="2"/>
    <d v="1973-10-22T00:00:00"/>
    <x v="439"/>
    <x v="1"/>
    <s v="tier - 2"/>
    <x v="3"/>
    <n v="49"/>
  </r>
  <r>
    <x v="443"/>
    <x v="426"/>
    <n v="27.83"/>
    <n v="9.1999999999999993"/>
    <x v="1"/>
    <x v="0"/>
    <x v="0"/>
    <n v="1"/>
    <x v="0"/>
    <x v="1"/>
    <x v="0"/>
    <d v="1994-10-03T00:00:00"/>
    <x v="440"/>
    <x v="1"/>
    <s v="tier - 3"/>
    <x v="2"/>
    <n v="28"/>
  </r>
  <r>
    <x v="444"/>
    <x v="427"/>
    <n v="30.875"/>
    <n v="10.97"/>
    <x v="1"/>
    <x v="0"/>
    <x v="0"/>
    <n v="2"/>
    <x v="1"/>
    <x v="0"/>
    <x v="0"/>
    <d v="1969-11-14T00:00:00"/>
    <x v="441"/>
    <x v="1"/>
    <s v="tier - 3"/>
    <x v="0"/>
    <n v="53"/>
  </r>
  <r>
    <x v="445"/>
    <x v="428"/>
    <n v="27.265000000000001"/>
    <n v="4.25"/>
    <x v="0"/>
    <x v="0"/>
    <x v="1"/>
    <n v="1"/>
    <x v="1"/>
    <x v="1"/>
    <x v="2"/>
    <d v="1997-08-07T00:00:00"/>
    <x v="442"/>
    <x v="1"/>
    <s v="tier - 3"/>
    <x v="11"/>
    <n v="25"/>
  </r>
  <r>
    <x v="446"/>
    <x v="429"/>
    <n v="26.7"/>
    <n v="5.23"/>
    <x v="0"/>
    <x v="0"/>
    <x v="1"/>
    <n v="1"/>
    <x v="0"/>
    <x v="1"/>
    <x v="2"/>
    <d v="2003-12-14T00:00:00"/>
    <x v="443"/>
    <x v="1"/>
    <s v="tier - 2"/>
    <x v="3"/>
    <n v="19"/>
  </r>
  <r>
    <x v="447"/>
    <x v="430"/>
    <n v="29.925000000000001"/>
    <n v="5.96"/>
    <x v="1"/>
    <x v="0"/>
    <x v="1"/>
    <n v="1"/>
    <x v="0"/>
    <x v="1"/>
    <x v="1"/>
    <d v="1975-09-09T00:00:00"/>
    <x v="444"/>
    <x v="1"/>
    <s v="tier - 2"/>
    <x v="0"/>
    <n v="47"/>
  </r>
  <r>
    <x v="448"/>
    <x v="431"/>
    <n v="19.95"/>
    <n v="4.29"/>
    <x v="1"/>
    <x v="0"/>
    <x v="0"/>
    <n v="2"/>
    <x v="0"/>
    <x v="2"/>
    <x v="2"/>
    <d v="1970-11-09T00:00:00"/>
    <x v="445"/>
    <x v="1"/>
    <s v="tier - 2"/>
    <x v="2"/>
    <n v="52"/>
  </r>
  <r>
    <x v="449"/>
    <x v="432"/>
    <n v="24.225000000000001"/>
    <n v="4.09"/>
    <x v="0"/>
    <x v="0"/>
    <x v="0"/>
    <n v="0"/>
    <x v="1"/>
    <x v="2"/>
    <x v="2"/>
    <d v="2003-07-25T00:00:00"/>
    <x v="446"/>
    <x v="1"/>
    <s v="tier - 1"/>
    <x v="1"/>
    <n v="19"/>
  </r>
  <r>
    <x v="450"/>
    <x v="337"/>
    <n v="28.12"/>
    <n v="4.88"/>
    <x v="0"/>
    <x v="0"/>
    <x v="0"/>
    <n v="0"/>
    <x v="0"/>
    <x v="1"/>
    <x v="2"/>
    <d v="1979-11-14T00:00:00"/>
    <x v="447"/>
    <x v="2"/>
    <s v="tier - 2"/>
    <x v="3"/>
    <n v="43"/>
  </r>
  <r>
    <x v="451"/>
    <x v="50"/>
    <n v="23.21"/>
    <n v="6.76"/>
    <x v="0"/>
    <x v="0"/>
    <x v="0"/>
    <n v="0"/>
    <x v="0"/>
    <x v="2"/>
    <x v="0"/>
    <d v="1983-12-21T00:00:00"/>
    <x v="448"/>
    <x v="2"/>
    <s v="tier - 1"/>
    <x v="9"/>
    <n v="39"/>
  </r>
  <r>
    <x v="452"/>
    <x v="433"/>
    <n v="23.98"/>
    <n v="10.67"/>
    <x v="0"/>
    <x v="0"/>
    <x v="0"/>
    <n v="0"/>
    <x v="1"/>
    <x v="2"/>
    <x v="0"/>
    <d v="1966-08-18T00:00:00"/>
    <x v="449"/>
    <x v="2"/>
    <s v="tier - 3"/>
    <x v="7"/>
    <n v="56"/>
  </r>
  <r>
    <x v="453"/>
    <x v="434"/>
    <n v="30"/>
    <n v="6.21"/>
    <x v="0"/>
    <x v="0"/>
    <x v="0"/>
    <n v="0"/>
    <x v="0"/>
    <x v="0"/>
    <x v="1"/>
    <d v="1999-08-26T00:00:00"/>
    <x v="450"/>
    <x v="2"/>
    <s v="tier - 2"/>
    <x v="2"/>
    <n v="23"/>
  </r>
  <r>
    <x v="454"/>
    <x v="435"/>
    <n v="17.350000000000001"/>
    <n v="5.03"/>
    <x v="1"/>
    <x v="0"/>
    <x v="0"/>
    <n v="0"/>
    <x v="0"/>
    <x v="3"/>
    <x v="2"/>
    <d v="1982-12-27T00:00:00"/>
    <x v="451"/>
    <x v="1"/>
    <s v="tier - 3"/>
    <x v="2"/>
    <n v="40"/>
  </r>
  <r>
    <x v="455"/>
    <x v="436"/>
    <n v="22.704999999999998"/>
    <n v="5.27"/>
    <x v="0"/>
    <x v="0"/>
    <x v="0"/>
    <n v="0"/>
    <x v="1"/>
    <x v="2"/>
    <x v="2"/>
    <d v="1971-06-16T00:00:00"/>
    <x v="452"/>
    <x v="1"/>
    <s v="tier - 3"/>
    <x v="0"/>
    <n v="51"/>
  </r>
  <r>
    <x v="456"/>
    <x v="437"/>
    <n v="25.41"/>
    <n v="10.53"/>
    <x v="1"/>
    <x v="0"/>
    <x v="0"/>
    <n v="1"/>
    <x v="0"/>
    <x v="1"/>
    <x v="0"/>
    <d v="1965-08-24T00:00:00"/>
    <x v="453"/>
    <x v="2"/>
    <s v="tier - 1"/>
    <x v="0"/>
    <n v="57"/>
  </r>
  <r>
    <x v="457"/>
    <x v="438"/>
    <n v="18.23"/>
    <n v="5.78"/>
    <x v="0"/>
    <x v="0"/>
    <x v="1"/>
    <n v="1"/>
    <x v="0"/>
    <x v="3"/>
    <x v="1"/>
    <d v="1980-09-12T00:00:00"/>
    <x v="454"/>
    <x v="1"/>
    <s v="tier - 2"/>
    <x v="3"/>
    <n v="42"/>
  </r>
  <r>
    <x v="458"/>
    <x v="439"/>
    <n v="24.7"/>
    <n v="4.3600000000000003"/>
    <x v="0"/>
    <x v="0"/>
    <x v="1"/>
    <n v="1"/>
    <x v="0"/>
    <x v="2"/>
    <x v="2"/>
    <d v="2001-08-28T00:00:00"/>
    <x v="455"/>
    <x v="2"/>
    <s v="tier - 1"/>
    <x v="3"/>
    <n v="21"/>
  </r>
  <r>
    <x v="459"/>
    <x v="63"/>
    <n v="37.4"/>
    <n v="9.7200000000000006"/>
    <x v="1"/>
    <x v="0"/>
    <x v="1"/>
    <n v="1"/>
    <x v="1"/>
    <x v="0"/>
    <x v="0"/>
    <d v="1989-10-14T00:00:00"/>
    <x v="456"/>
    <x v="2"/>
    <s v="tier - 1"/>
    <x v="1"/>
    <n v="33"/>
  </r>
  <r>
    <x v="460"/>
    <x v="286"/>
    <n v="26.885000000000002"/>
    <n v="5.18"/>
    <x v="0"/>
    <x v="0"/>
    <x v="1"/>
    <n v="1"/>
    <x v="0"/>
    <x v="1"/>
    <x v="2"/>
    <d v="1975-12-19T00:00:00"/>
    <x v="457"/>
    <x v="2"/>
    <s v="tier - 3"/>
    <x v="0"/>
    <n v="47"/>
  </r>
  <r>
    <x v="461"/>
    <x v="79"/>
    <n v="25.27"/>
    <n v="5.29"/>
    <x v="0"/>
    <x v="0"/>
    <x v="1"/>
    <n v="1"/>
    <x v="0"/>
    <x v="1"/>
    <x v="2"/>
    <d v="2003-09-28T00:00:00"/>
    <x v="458"/>
    <x v="1"/>
    <s v="tier - 1"/>
    <x v="3"/>
    <n v="19"/>
  </r>
  <r>
    <x v="462"/>
    <x v="440"/>
    <n v="23.655000000000001"/>
    <n v="4.8600000000000003"/>
    <x v="1"/>
    <x v="0"/>
    <x v="0"/>
    <n v="0"/>
    <x v="0"/>
    <x v="2"/>
    <x v="2"/>
    <d v="1979-08-17T00:00:00"/>
    <x v="459"/>
    <x v="2"/>
    <s v="tier - 1"/>
    <x v="1"/>
    <n v="43"/>
  </r>
  <r>
    <x v="463"/>
    <x v="441"/>
    <n v="55.05"/>
    <n v="7.66"/>
    <x v="0"/>
    <x v="0"/>
    <x v="0"/>
    <n v="0"/>
    <x v="1"/>
    <x v="0"/>
    <x v="0"/>
    <d v="1963-08-27T00:00:00"/>
    <x v="460"/>
    <x v="2"/>
    <s v="tier - 1"/>
    <x v="3"/>
    <n v="59"/>
  </r>
  <r>
    <x v="464"/>
    <x v="442"/>
    <n v="24.89"/>
    <n v="6.1"/>
    <x v="1"/>
    <x v="0"/>
    <x v="1"/>
    <n v="1"/>
    <x v="0"/>
    <x v="2"/>
    <x v="1"/>
    <d v="1979-09-28T00:00:00"/>
    <x v="461"/>
    <x v="2"/>
    <s v="tier - 2"/>
    <x v="1"/>
    <n v="43"/>
  </r>
  <r>
    <x v="465"/>
    <x v="443"/>
    <n v="18.715"/>
    <n v="4.4400000000000004"/>
    <x v="0"/>
    <x v="0"/>
    <x v="0"/>
    <n v="0"/>
    <x v="1"/>
    <x v="2"/>
    <x v="2"/>
    <d v="1979-09-20T00:00:00"/>
    <x v="462"/>
    <x v="2"/>
    <s v="tier - 1"/>
    <x v="2"/>
    <n v="43"/>
  </r>
  <r>
    <x v="466"/>
    <x v="66"/>
    <n v="28.12"/>
    <n v="6.15"/>
    <x v="0"/>
    <x v="0"/>
    <x v="0"/>
    <n v="0"/>
    <x v="0"/>
    <x v="1"/>
    <x v="1"/>
    <d v="1976-07-18T00:00:00"/>
    <x v="463"/>
    <x v="2"/>
    <s v="tier - 1"/>
    <x v="1"/>
    <n v="46"/>
  </r>
  <r>
    <x v="467"/>
    <x v="444"/>
    <n v="26.6"/>
    <n v="4.53"/>
    <x v="0"/>
    <x v="0"/>
    <x v="0"/>
    <n v="0"/>
    <x v="0"/>
    <x v="1"/>
    <x v="2"/>
    <d v="1962-11-16T00:00:00"/>
    <x v="464"/>
    <x v="1"/>
    <s v="tier - 2"/>
    <x v="1"/>
    <n v="60"/>
  </r>
  <r>
    <x v="468"/>
    <x v="445"/>
    <n v="30.114999999999998"/>
    <n v="5.48"/>
    <x v="0"/>
    <x v="1"/>
    <x v="0"/>
    <n v="1"/>
    <x v="1"/>
    <x v="0"/>
    <x v="2"/>
    <d v="1983-12-25T00:00:00"/>
    <x v="465"/>
    <x v="2"/>
    <s v="tier - 3"/>
    <x v="2"/>
    <n v="39"/>
  </r>
  <r>
    <x v="469"/>
    <x v="446"/>
    <n v="24.605"/>
    <n v="5.48"/>
    <x v="0"/>
    <x v="0"/>
    <x v="0"/>
    <n v="0"/>
    <x v="0"/>
    <x v="2"/>
    <x v="2"/>
    <d v="1999-06-12T00:00:00"/>
    <x v="466"/>
    <x v="1"/>
    <s v="tier - 3"/>
    <x v="1"/>
    <n v="23"/>
  </r>
  <r>
    <x v="470"/>
    <x v="447"/>
    <n v="29.6"/>
    <n v="8.1"/>
    <x v="0"/>
    <x v="0"/>
    <x v="0"/>
    <n v="0"/>
    <x v="1"/>
    <x v="1"/>
    <x v="0"/>
    <d v="1990-11-21T00:00:00"/>
    <x v="467"/>
    <x v="1"/>
    <s v="tier - 2"/>
    <x v="1"/>
    <n v="32"/>
  </r>
  <r>
    <x v="471"/>
    <x v="448"/>
    <n v="24.42"/>
    <n v="7.16"/>
    <x v="0"/>
    <x v="0"/>
    <x v="0"/>
    <n v="0"/>
    <x v="0"/>
    <x v="2"/>
    <x v="0"/>
    <d v="1980-09-04T00:00:00"/>
    <x v="468"/>
    <x v="1"/>
    <s v="tier - 1"/>
    <x v="1"/>
    <n v="42"/>
  </r>
  <r>
    <x v="472"/>
    <x v="239"/>
    <n v="20.9"/>
    <n v="4.55"/>
    <x v="1"/>
    <x v="0"/>
    <x v="1"/>
    <n v="1"/>
    <x v="0"/>
    <x v="2"/>
    <x v="2"/>
    <d v="2004-08-04T00:00:00"/>
    <x v="469"/>
    <x v="2"/>
    <s v="tier - 1"/>
    <x v="2"/>
    <n v="18"/>
  </r>
  <r>
    <x v="473"/>
    <x v="449"/>
    <n v="22.895"/>
    <n v="6.03"/>
    <x v="0"/>
    <x v="0"/>
    <x v="0"/>
    <n v="0"/>
    <x v="0"/>
    <x v="2"/>
    <x v="1"/>
    <d v="1980-12-10T00:00:00"/>
    <x v="470"/>
    <x v="2"/>
    <s v="tier - 3"/>
    <x v="9"/>
    <n v="42"/>
  </r>
  <r>
    <x v="474"/>
    <x v="450"/>
    <n v="28.3"/>
    <n v="5.47"/>
    <x v="1"/>
    <x v="0"/>
    <x v="1"/>
    <n v="1"/>
    <x v="0"/>
    <x v="1"/>
    <x v="2"/>
    <d v="1974-09-03T00:00:00"/>
    <x v="471"/>
    <x v="2"/>
    <s v="tier - 2"/>
    <x v="3"/>
    <n v="48"/>
  </r>
  <r>
    <x v="475"/>
    <x v="451"/>
    <n v="54.3"/>
    <n v="4.1500000000000004"/>
    <x v="1"/>
    <x v="0"/>
    <x v="0"/>
    <n v="1"/>
    <x v="1"/>
    <x v="0"/>
    <x v="2"/>
    <d v="1974-10-14T00:00:00"/>
    <x v="472"/>
    <x v="2"/>
    <s v="tier - 2"/>
    <x v="0"/>
    <n v="48"/>
  </r>
  <r>
    <x v="476"/>
    <x v="452"/>
    <n v="33.344999999999999"/>
    <n v="11.32"/>
    <x v="1"/>
    <x v="0"/>
    <x v="0"/>
    <n v="1"/>
    <x v="1"/>
    <x v="0"/>
    <x v="0"/>
    <d v="1969-08-26T00:00:00"/>
    <x v="473"/>
    <x v="2"/>
    <s v="tier - 1"/>
    <x v="0"/>
    <n v="53"/>
  </r>
  <r>
    <x v="477"/>
    <x v="453"/>
    <n v="33"/>
    <n v="9.51"/>
    <x v="1"/>
    <x v="0"/>
    <x v="0"/>
    <n v="0"/>
    <x v="1"/>
    <x v="0"/>
    <x v="0"/>
    <d v="1977-11-23T00:00:00"/>
    <x v="474"/>
    <x v="2"/>
    <s v="tier - 3"/>
    <x v="1"/>
    <n v="45"/>
  </r>
  <r>
    <x v="478"/>
    <x v="454"/>
    <n v="28.024999999999999"/>
    <n v="7.67"/>
    <x v="1"/>
    <x v="0"/>
    <x v="0"/>
    <n v="1"/>
    <x v="0"/>
    <x v="1"/>
    <x v="0"/>
    <d v="1983-07-02T00:00:00"/>
    <x v="475"/>
    <x v="2"/>
    <s v="tier - 2"/>
    <x v="3"/>
    <n v="39"/>
  </r>
  <r>
    <x v="479"/>
    <x v="455"/>
    <n v="28.69"/>
    <n v="6.23"/>
    <x v="0"/>
    <x v="0"/>
    <x v="0"/>
    <n v="1"/>
    <x v="0"/>
    <x v="1"/>
    <x v="1"/>
    <d v="1987-11-27T00:00:00"/>
    <x v="476"/>
    <x v="1"/>
    <s v="tier - 2"/>
    <x v="5"/>
    <n v="35"/>
  </r>
  <r>
    <x v="480"/>
    <x v="456"/>
    <n v="40.28"/>
    <n v="8.9"/>
    <x v="0"/>
    <x v="0"/>
    <x v="0"/>
    <n v="0"/>
    <x v="1"/>
    <x v="0"/>
    <x v="0"/>
    <d v="1964-11-19T00:00:00"/>
    <x v="477"/>
    <x v="1"/>
    <s v="tier - 3"/>
    <x v="1"/>
    <n v="58"/>
  </r>
  <r>
    <x v="481"/>
    <x v="457"/>
    <n v="37.299999999999997"/>
    <n v="7.79"/>
    <x v="1"/>
    <x v="0"/>
    <x v="0"/>
    <n v="0"/>
    <x v="1"/>
    <x v="0"/>
    <x v="0"/>
    <d v="1975-12-08T00:00:00"/>
    <x v="478"/>
    <x v="1"/>
    <s v="tier - 1"/>
    <x v="2"/>
    <n v="47"/>
  </r>
  <r>
    <x v="482"/>
    <x v="458"/>
    <n v="54.47"/>
    <n v="4.49"/>
    <x v="1"/>
    <x v="0"/>
    <x v="0"/>
    <n v="2"/>
    <x v="1"/>
    <x v="0"/>
    <x v="2"/>
    <d v="1967-09-08T00:00:00"/>
    <x v="479"/>
    <x v="1"/>
    <s v="tier - 3"/>
    <x v="0"/>
    <n v="55"/>
  </r>
  <r>
    <x v="483"/>
    <x v="129"/>
    <n v="38.06"/>
    <n v="5.24"/>
    <x v="1"/>
    <x v="0"/>
    <x v="1"/>
    <n v="1"/>
    <x v="1"/>
    <x v="0"/>
    <x v="2"/>
    <d v="1986-08-04T00:00:00"/>
    <x v="480"/>
    <x v="1"/>
    <s v="tier - 3"/>
    <x v="6"/>
    <n v="36"/>
  </r>
  <r>
    <x v="484"/>
    <x v="459"/>
    <n v="51.47"/>
    <n v="9.6"/>
    <x v="0"/>
    <x v="0"/>
    <x v="0"/>
    <n v="0"/>
    <x v="1"/>
    <x v="0"/>
    <x v="0"/>
    <d v="1992-09-14T00:00:00"/>
    <x v="481"/>
    <x v="2"/>
    <s v="tier - 1"/>
    <x v="1"/>
    <n v="30"/>
  </r>
  <r>
    <x v="485"/>
    <x v="316"/>
    <n v="29.8"/>
    <n v="5.78"/>
    <x v="1"/>
    <x v="0"/>
    <x v="0"/>
    <n v="0"/>
    <x v="1"/>
    <x v="1"/>
    <x v="1"/>
    <d v="1965-08-01T00:00:00"/>
    <x v="482"/>
    <x v="2"/>
    <s v="tier - 2"/>
    <x v="9"/>
    <n v="57"/>
  </r>
  <r>
    <x v="486"/>
    <x v="460"/>
    <n v="49.77"/>
    <n v="7.02"/>
    <x v="0"/>
    <x v="0"/>
    <x v="0"/>
    <n v="0"/>
    <x v="1"/>
    <x v="0"/>
    <x v="0"/>
    <d v="1967-12-17T00:00:00"/>
    <x v="483"/>
    <x v="1"/>
    <s v="tier - 3"/>
    <x v="3"/>
    <n v="55"/>
  </r>
  <r>
    <x v="487"/>
    <x v="461"/>
    <n v="25.555"/>
    <n v="4.09"/>
    <x v="1"/>
    <x v="0"/>
    <x v="0"/>
    <n v="0"/>
    <x v="0"/>
    <x v="1"/>
    <x v="2"/>
    <d v="1966-07-09T00:00:00"/>
    <x v="484"/>
    <x v="2"/>
    <s v="tier - 2"/>
    <x v="1"/>
    <n v="56"/>
  </r>
  <r>
    <x v="488"/>
    <x v="462"/>
    <n v="29.64"/>
    <n v="4.93"/>
    <x v="0"/>
    <x v="0"/>
    <x v="1"/>
    <n v="1"/>
    <x v="1"/>
    <x v="1"/>
    <x v="2"/>
    <d v="1969-10-13T00:00:00"/>
    <x v="485"/>
    <x v="1"/>
    <s v="tier - 2"/>
    <x v="0"/>
    <n v="53"/>
  </r>
  <r>
    <x v="489"/>
    <x v="463"/>
    <n v="53.93"/>
    <n v="5.34"/>
    <x v="1"/>
    <x v="0"/>
    <x v="0"/>
    <n v="2"/>
    <x v="1"/>
    <x v="0"/>
    <x v="2"/>
    <d v="1962-10-18T00:00:00"/>
    <x v="486"/>
    <x v="1"/>
    <s v="tier - 1"/>
    <x v="1"/>
    <n v="60"/>
  </r>
  <r>
    <x v="490"/>
    <x v="464"/>
    <n v="28.024999999999999"/>
    <n v="5.65"/>
    <x v="0"/>
    <x v="0"/>
    <x v="0"/>
    <n v="1"/>
    <x v="0"/>
    <x v="1"/>
    <x v="2"/>
    <d v="1985-07-12T00:00:00"/>
    <x v="487"/>
    <x v="2"/>
    <s v="tier - 2"/>
    <x v="3"/>
    <n v="37"/>
  </r>
  <r>
    <x v="491"/>
    <x v="465"/>
    <n v="27.5"/>
    <n v="4.49"/>
    <x v="0"/>
    <x v="0"/>
    <x v="0"/>
    <n v="0"/>
    <x v="1"/>
    <x v="1"/>
    <x v="2"/>
    <d v="1962-07-02T00:00:00"/>
    <x v="488"/>
    <x v="2"/>
    <s v="tier - 2"/>
    <x v="12"/>
    <n v="60"/>
  </r>
  <r>
    <x v="492"/>
    <x v="466"/>
    <n v="21.8"/>
    <n v="10.55"/>
    <x v="0"/>
    <x v="0"/>
    <x v="0"/>
    <n v="0"/>
    <x v="0"/>
    <x v="2"/>
    <x v="0"/>
    <d v="1985-09-17T00:00:00"/>
    <x v="489"/>
    <x v="2"/>
    <s v="tier - 1"/>
    <x v="2"/>
    <n v="37"/>
  </r>
  <r>
    <x v="493"/>
    <x v="467"/>
    <n v="26.41"/>
    <n v="4.92"/>
    <x v="1"/>
    <x v="0"/>
    <x v="1"/>
    <n v="1"/>
    <x v="0"/>
    <x v="1"/>
    <x v="2"/>
    <d v="1993-09-07T00:00:00"/>
    <x v="490"/>
    <x v="2"/>
    <s v="tier - 3"/>
    <x v="4"/>
    <n v="29"/>
  </r>
  <r>
    <x v="494"/>
    <x v="456"/>
    <n v="27.835000000000001"/>
    <n v="5.9"/>
    <x v="1"/>
    <x v="0"/>
    <x v="0"/>
    <n v="1"/>
    <x v="0"/>
    <x v="1"/>
    <x v="1"/>
    <d v="1966-08-22T00:00:00"/>
    <x v="491"/>
    <x v="1"/>
    <s v="tier - 3"/>
    <x v="1"/>
    <n v="56"/>
  </r>
  <r>
    <x v="495"/>
    <x v="468"/>
    <n v="51.74"/>
    <n v="4.9800000000000004"/>
    <x v="1"/>
    <x v="0"/>
    <x v="0"/>
    <n v="2"/>
    <x v="1"/>
    <x v="0"/>
    <x v="2"/>
    <d v="1987-10-17T00:00:00"/>
    <x v="492"/>
    <x v="1"/>
    <s v="tier - 3"/>
    <x v="1"/>
    <n v="35"/>
  </r>
  <r>
    <x v="496"/>
    <x v="469"/>
    <n v="23.37"/>
    <n v="5.8"/>
    <x v="0"/>
    <x v="0"/>
    <x v="0"/>
    <n v="0"/>
    <x v="0"/>
    <x v="2"/>
    <x v="1"/>
    <d v="1994-06-08T00:00:00"/>
    <x v="493"/>
    <x v="1"/>
    <s v="tier - 1"/>
    <x v="3"/>
    <n v="29"/>
  </r>
  <r>
    <x v="497"/>
    <x v="470"/>
    <n v="29.7"/>
    <n v="6.21"/>
    <x v="1"/>
    <x v="0"/>
    <x v="1"/>
    <n v="1"/>
    <x v="0"/>
    <x v="1"/>
    <x v="1"/>
    <d v="2002-07-09T00:00:00"/>
    <x v="494"/>
    <x v="2"/>
    <s v="tier - 3"/>
    <x v="3"/>
    <n v="20"/>
  </r>
  <r>
    <x v="498"/>
    <x v="471"/>
    <n v="20.045000000000002"/>
    <n v="6.17"/>
    <x v="0"/>
    <x v="0"/>
    <x v="1"/>
    <n v="1"/>
    <x v="0"/>
    <x v="2"/>
    <x v="1"/>
    <d v="1983-10-06T00:00:00"/>
    <x v="495"/>
    <x v="1"/>
    <s v="tier - 1"/>
    <x v="4"/>
    <n v="39"/>
  </r>
  <r>
    <x v="499"/>
    <x v="472"/>
    <n v="27.83"/>
    <n v="5.36"/>
    <x v="0"/>
    <x v="0"/>
    <x v="0"/>
    <n v="2"/>
    <x v="1"/>
    <x v="1"/>
    <x v="2"/>
    <d v="1988-07-25T00:00:00"/>
    <x v="496"/>
    <x v="1"/>
    <s v="tier - 1"/>
    <x v="1"/>
    <n v="34"/>
  </r>
  <r>
    <x v="500"/>
    <x v="473"/>
    <n v="28.93"/>
    <n v="5.2"/>
    <x v="0"/>
    <x v="0"/>
    <x v="0"/>
    <n v="0"/>
    <x v="0"/>
    <x v="1"/>
    <x v="2"/>
    <d v="1966-08-10T00:00:00"/>
    <x v="497"/>
    <x v="0"/>
    <s v="tier - 3"/>
    <x v="12"/>
    <n v="56"/>
  </r>
  <r>
    <x v="501"/>
    <x v="68"/>
    <n v="33.82"/>
    <n v="5.42"/>
    <x v="0"/>
    <x v="0"/>
    <x v="0"/>
    <n v="0"/>
    <x v="1"/>
    <x v="0"/>
    <x v="2"/>
    <d v="1980-10-09T00:00:00"/>
    <x v="498"/>
    <x v="0"/>
    <s v="tier - 2"/>
    <x v="2"/>
    <n v="42"/>
  </r>
  <r>
    <x v="502"/>
    <x v="474"/>
    <n v="20.234999999999999"/>
    <n v="6.84"/>
    <x v="0"/>
    <x v="0"/>
    <x v="0"/>
    <n v="0"/>
    <x v="0"/>
    <x v="2"/>
    <x v="0"/>
    <d v="1997-10-18T00:00:00"/>
    <x v="499"/>
    <x v="0"/>
    <s v="tier - 3"/>
    <x v="3"/>
    <n v="25"/>
  </r>
  <r>
    <x v="503"/>
    <x v="475"/>
    <n v="49.2"/>
    <n v="10.9"/>
    <x v="1"/>
    <x v="0"/>
    <x v="1"/>
    <n v="1"/>
    <x v="1"/>
    <x v="0"/>
    <x v="0"/>
    <d v="1979-10-30T00:00:00"/>
    <x v="500"/>
    <x v="0"/>
    <s v="tier - 1"/>
    <x v="2"/>
    <n v="43"/>
  </r>
  <r>
    <x v="504"/>
    <x v="476"/>
    <n v="26.4"/>
    <n v="4.87"/>
    <x v="1"/>
    <x v="0"/>
    <x v="0"/>
    <n v="0"/>
    <x v="0"/>
    <x v="1"/>
    <x v="2"/>
    <d v="1972-06-14T00:00:00"/>
    <x v="501"/>
    <x v="0"/>
    <s v="tier - 3"/>
    <x v="0"/>
    <n v="50"/>
  </r>
  <r>
    <x v="505"/>
    <x v="477"/>
    <n v="28.38"/>
    <n v="6.07"/>
    <x v="0"/>
    <x v="0"/>
    <x v="0"/>
    <n v="1"/>
    <x v="0"/>
    <x v="1"/>
    <x v="1"/>
    <d v="1990-08-08T00:00:00"/>
    <x v="502"/>
    <x v="0"/>
    <s v="tier - 2"/>
    <x v="0"/>
    <n v="32"/>
  </r>
  <r>
    <x v="506"/>
    <x v="478"/>
    <n v="24.64"/>
    <n v="4.33"/>
    <x v="0"/>
    <x v="0"/>
    <x v="0"/>
    <n v="0"/>
    <x v="0"/>
    <x v="2"/>
    <x v="2"/>
    <d v="1994-08-27T00:00:00"/>
    <x v="503"/>
    <x v="0"/>
    <s v="tier - 2"/>
    <x v="1"/>
    <n v="28"/>
  </r>
  <r>
    <x v="507"/>
    <x v="479"/>
    <n v="39.71"/>
    <n v="5.83"/>
    <x v="0"/>
    <x v="0"/>
    <x v="0"/>
    <n v="1"/>
    <x v="1"/>
    <x v="0"/>
    <x v="1"/>
    <d v="1978-09-24T00:00:00"/>
    <x v="504"/>
    <x v="0"/>
    <s v="tier - 1"/>
    <x v="2"/>
    <n v="44"/>
  </r>
  <r>
    <x v="508"/>
    <x v="480"/>
    <n v="22.22"/>
    <n v="5.5"/>
    <x v="0"/>
    <x v="0"/>
    <x v="0"/>
    <n v="0"/>
    <x v="0"/>
    <x v="2"/>
    <x v="2"/>
    <d v="1963-07-14T00:00:00"/>
    <x v="505"/>
    <x v="0"/>
    <s v="tier - 3"/>
    <x v="1"/>
    <n v="59"/>
  </r>
  <r>
    <x v="509"/>
    <x v="481"/>
    <n v="33.344999999999999"/>
    <n v="4.79"/>
    <x v="0"/>
    <x v="0"/>
    <x v="1"/>
    <n v="1"/>
    <x v="1"/>
    <x v="0"/>
    <x v="2"/>
    <d v="1985-09-17T00:00:00"/>
    <x v="506"/>
    <x v="0"/>
    <s v="tier - 1"/>
    <x v="0"/>
    <n v="37"/>
  </r>
  <r>
    <x v="510"/>
    <x v="482"/>
    <n v="24.42"/>
    <n v="5.81"/>
    <x v="0"/>
    <x v="0"/>
    <x v="0"/>
    <n v="1"/>
    <x v="0"/>
    <x v="2"/>
    <x v="1"/>
    <d v="1992-08-19T00:00:00"/>
    <x v="507"/>
    <x v="0"/>
    <s v="tier - 2"/>
    <x v="0"/>
    <n v="30"/>
  </r>
  <r>
    <x v="511"/>
    <x v="483"/>
    <n v="29.81"/>
    <n v="5.58"/>
    <x v="0"/>
    <x v="0"/>
    <x v="0"/>
    <n v="0"/>
    <x v="0"/>
    <x v="1"/>
    <x v="2"/>
    <d v="1980-11-08T00:00:00"/>
    <x v="508"/>
    <x v="0"/>
    <s v="tier - 1"/>
    <x v="0"/>
    <n v="42"/>
  </r>
  <r>
    <x v="512"/>
    <x v="484"/>
    <n v="51.18"/>
    <n v="4.4000000000000004"/>
    <x v="1"/>
    <x v="0"/>
    <x v="0"/>
    <n v="2"/>
    <x v="1"/>
    <x v="0"/>
    <x v="2"/>
    <d v="1987-11-30T00:00:00"/>
    <x v="509"/>
    <x v="0"/>
    <s v="tier - 3"/>
    <x v="9"/>
    <n v="35"/>
  </r>
  <r>
    <x v="513"/>
    <x v="485"/>
    <n v="51.37"/>
    <n v="8.18"/>
    <x v="1"/>
    <x v="0"/>
    <x v="0"/>
    <n v="0"/>
    <x v="1"/>
    <x v="0"/>
    <x v="0"/>
    <d v="1982-12-15T00:00:00"/>
    <x v="510"/>
    <x v="0"/>
    <s v="tier - 1"/>
    <x v="0"/>
    <n v="40"/>
  </r>
  <r>
    <x v="514"/>
    <x v="486"/>
    <n v="36.19"/>
    <n v="5.52"/>
    <x v="1"/>
    <x v="0"/>
    <x v="0"/>
    <n v="0"/>
    <x v="1"/>
    <x v="0"/>
    <x v="2"/>
    <d v="1993-09-06T00:00:00"/>
    <x v="511"/>
    <x v="0"/>
    <s v="tier - 3"/>
    <x v="1"/>
    <n v="29"/>
  </r>
  <r>
    <x v="515"/>
    <x v="487"/>
    <n v="25.9"/>
    <n v="4.84"/>
    <x v="0"/>
    <x v="0"/>
    <x v="0"/>
    <n v="0"/>
    <x v="0"/>
    <x v="1"/>
    <x v="2"/>
    <d v="1987-06-30T00:00:00"/>
    <x v="512"/>
    <x v="0"/>
    <s v="tier - 3"/>
    <x v="0"/>
    <n v="35"/>
  </r>
  <r>
    <x v="516"/>
    <x v="488"/>
    <n v="35.72"/>
    <n v="4.08"/>
    <x v="0"/>
    <x v="0"/>
    <x v="1"/>
    <n v="1"/>
    <x v="1"/>
    <x v="0"/>
    <x v="2"/>
    <d v="1991-08-24T00:00:00"/>
    <x v="513"/>
    <x v="0"/>
    <s v="tier - 3"/>
    <x v="0"/>
    <n v="31"/>
  </r>
  <r>
    <x v="517"/>
    <x v="489"/>
    <n v="27.94"/>
    <n v="4.4800000000000004"/>
    <x v="0"/>
    <x v="0"/>
    <x v="1"/>
    <n v="1"/>
    <x v="0"/>
    <x v="1"/>
    <x v="2"/>
    <d v="1966-11-15T00:00:00"/>
    <x v="514"/>
    <x v="0"/>
    <s v="tier - 1"/>
    <x v="1"/>
    <n v="56"/>
  </r>
  <r>
    <x v="518"/>
    <x v="490"/>
    <n v="27.1"/>
    <n v="5.73"/>
    <x v="0"/>
    <x v="0"/>
    <x v="0"/>
    <n v="0"/>
    <x v="0"/>
    <x v="1"/>
    <x v="1"/>
    <d v="1967-07-29T00:00:00"/>
    <x v="515"/>
    <x v="0"/>
    <s v="tier - 1"/>
    <x v="1"/>
    <n v="55"/>
  </r>
  <r>
    <x v="519"/>
    <x v="491"/>
    <n v="18.3"/>
    <n v="5.46"/>
    <x v="1"/>
    <x v="0"/>
    <x v="1"/>
    <n v="1"/>
    <x v="0"/>
    <x v="3"/>
    <x v="2"/>
    <d v="1985-12-28T00:00:00"/>
    <x v="516"/>
    <x v="0"/>
    <s v="tier - 3"/>
    <x v="0"/>
    <n v="37"/>
  </r>
  <r>
    <x v="520"/>
    <x v="492"/>
    <n v="25.3"/>
    <n v="5.0199999999999996"/>
    <x v="1"/>
    <x v="0"/>
    <x v="0"/>
    <n v="1"/>
    <x v="0"/>
    <x v="1"/>
    <x v="2"/>
    <d v="1991-09-16T00:00:00"/>
    <x v="517"/>
    <x v="0"/>
    <s v="tier - 3"/>
    <x v="3"/>
    <n v="31"/>
  </r>
  <r>
    <x v="521"/>
    <x v="493"/>
    <n v="38.83"/>
    <n v="6.36"/>
    <x v="0"/>
    <x v="0"/>
    <x v="0"/>
    <n v="1"/>
    <x v="1"/>
    <x v="0"/>
    <x v="1"/>
    <d v="1979-07-02T00:00:00"/>
    <x v="518"/>
    <x v="0"/>
    <s v="tier - 1"/>
    <x v="2"/>
    <n v="43"/>
  </r>
  <r>
    <x v="522"/>
    <x v="494"/>
    <n v="27.6"/>
    <n v="5.36"/>
    <x v="0"/>
    <x v="0"/>
    <x v="0"/>
    <n v="1"/>
    <x v="1"/>
    <x v="1"/>
    <x v="2"/>
    <d v="1993-09-28T00:00:00"/>
    <x v="519"/>
    <x v="0"/>
    <s v="tier - 2"/>
    <x v="0"/>
    <n v="29"/>
  </r>
  <r>
    <x v="523"/>
    <x v="495"/>
    <n v="46.4"/>
    <n v="8.3699999999999992"/>
    <x v="1"/>
    <x v="0"/>
    <x v="1"/>
    <n v="1"/>
    <x v="1"/>
    <x v="0"/>
    <x v="0"/>
    <d v="1989-06-05T00:00:00"/>
    <x v="520"/>
    <x v="0"/>
    <s v="tier - 3"/>
    <x v="3"/>
    <n v="34"/>
  </r>
  <r>
    <x v="524"/>
    <x v="496"/>
    <n v="51.92"/>
    <n v="5.18"/>
    <x v="1"/>
    <x v="0"/>
    <x v="1"/>
    <n v="1"/>
    <x v="1"/>
    <x v="0"/>
    <x v="2"/>
    <d v="1983-12-19T00:00:00"/>
    <x v="521"/>
    <x v="0"/>
    <s v="tier - 3"/>
    <x v="3"/>
    <n v="39"/>
  </r>
  <r>
    <x v="525"/>
    <x v="497"/>
    <n v="32.395000000000003"/>
    <n v="5.68"/>
    <x v="1"/>
    <x v="0"/>
    <x v="0"/>
    <n v="1"/>
    <x v="1"/>
    <x v="0"/>
    <x v="2"/>
    <d v="1988-10-24T00:00:00"/>
    <x v="522"/>
    <x v="0"/>
    <s v="tier - 3"/>
    <x v="0"/>
    <n v="34"/>
  </r>
  <r>
    <x v="526"/>
    <x v="498"/>
    <n v="46.19"/>
    <n v="7.31"/>
    <x v="1"/>
    <x v="0"/>
    <x v="1"/>
    <n v="1"/>
    <x v="1"/>
    <x v="0"/>
    <x v="0"/>
    <d v="1992-11-30T00:00:00"/>
    <x v="523"/>
    <x v="0"/>
    <s v="tier - 1"/>
    <x v="0"/>
    <n v="30"/>
  </r>
  <r>
    <x v="527"/>
    <x v="499"/>
    <n v="27.93"/>
    <n v="4.67"/>
    <x v="0"/>
    <x v="0"/>
    <x v="1"/>
    <n v="1"/>
    <x v="1"/>
    <x v="1"/>
    <x v="2"/>
    <d v="1998-08-06T00:00:00"/>
    <x v="524"/>
    <x v="0"/>
    <s v="tier - 3"/>
    <x v="3"/>
    <n v="24"/>
  </r>
  <r>
    <x v="528"/>
    <x v="500"/>
    <n v="45.62"/>
    <n v="6.87"/>
    <x v="0"/>
    <x v="0"/>
    <x v="0"/>
    <n v="0"/>
    <x v="1"/>
    <x v="0"/>
    <x v="0"/>
    <d v="1963-10-20T00:00:00"/>
    <x v="525"/>
    <x v="0"/>
    <s v="tier - 1"/>
    <x v="12"/>
    <n v="59"/>
  </r>
  <r>
    <x v="529"/>
    <x v="501"/>
    <n v="35.31"/>
    <n v="5.87"/>
    <x v="0"/>
    <x v="0"/>
    <x v="1"/>
    <n v="1"/>
    <x v="1"/>
    <x v="0"/>
    <x v="1"/>
    <d v="1969-08-03T00:00:00"/>
    <x v="526"/>
    <x v="0"/>
    <s v="tier - 3"/>
    <x v="1"/>
    <n v="53"/>
  </r>
  <r>
    <x v="530"/>
    <x v="502"/>
    <n v="30.4"/>
    <n v="4.07"/>
    <x v="1"/>
    <x v="0"/>
    <x v="0"/>
    <n v="1"/>
    <x v="1"/>
    <x v="0"/>
    <x v="2"/>
    <d v="1995-09-27T00:00:00"/>
    <x v="527"/>
    <x v="0"/>
    <s v="tier - 2"/>
    <x v="2"/>
    <n v="27"/>
  </r>
  <r>
    <x v="531"/>
    <x v="503"/>
    <n v="20.13"/>
    <n v="6.47"/>
    <x v="0"/>
    <x v="0"/>
    <x v="1"/>
    <n v="1"/>
    <x v="0"/>
    <x v="2"/>
    <x v="1"/>
    <d v="1963-12-06T00:00:00"/>
    <x v="528"/>
    <x v="0"/>
    <s v="tier - 1"/>
    <x v="12"/>
    <n v="59"/>
  </r>
  <r>
    <x v="532"/>
    <x v="504"/>
    <n v="23.655000000000001"/>
    <n v="5.14"/>
    <x v="0"/>
    <x v="0"/>
    <x v="0"/>
    <n v="1"/>
    <x v="0"/>
    <x v="2"/>
    <x v="2"/>
    <d v="2003-07-24T00:00:00"/>
    <x v="529"/>
    <x v="0"/>
    <s v="tier - 3"/>
    <x v="1"/>
    <n v="19"/>
  </r>
  <r>
    <x v="533"/>
    <x v="505"/>
    <n v="49.05"/>
    <n v="9.77"/>
    <x v="1"/>
    <x v="0"/>
    <x v="0"/>
    <n v="0"/>
    <x v="1"/>
    <x v="0"/>
    <x v="0"/>
    <d v="1962-12-18T00:00:00"/>
    <x v="530"/>
    <x v="0"/>
    <s v="tier - 1"/>
    <x v="8"/>
    <n v="60"/>
  </r>
  <r>
    <x v="534"/>
    <x v="506"/>
    <n v="51.94"/>
    <n v="8.8000000000000007"/>
    <x v="1"/>
    <x v="0"/>
    <x v="0"/>
    <n v="2"/>
    <x v="1"/>
    <x v="0"/>
    <x v="0"/>
    <d v="1979-10-15T00:00:00"/>
    <x v="531"/>
    <x v="0"/>
    <s v="tier - 2"/>
    <x v="0"/>
    <n v="43"/>
  </r>
  <r>
    <x v="535"/>
    <x v="68"/>
    <n v="29.83"/>
    <n v="5.84"/>
    <x v="0"/>
    <x v="0"/>
    <x v="0"/>
    <n v="1"/>
    <x v="0"/>
    <x v="1"/>
    <x v="1"/>
    <d v="1995-11-28T00:00:00"/>
    <x v="532"/>
    <x v="0"/>
    <s v="tier - 1"/>
    <x v="1"/>
    <n v="27"/>
  </r>
  <r>
    <x v="536"/>
    <x v="507"/>
    <n v="22.6"/>
    <n v="10.43"/>
    <x v="1"/>
    <x v="0"/>
    <x v="0"/>
    <n v="1"/>
    <x v="0"/>
    <x v="2"/>
    <x v="0"/>
    <d v="1979-11-19T00:00:00"/>
    <x v="533"/>
    <x v="0"/>
    <s v="tier - 1"/>
    <x v="0"/>
    <n v="43"/>
  </r>
  <r>
    <x v="537"/>
    <x v="508"/>
    <n v="46.69"/>
    <n v="4.25"/>
    <x v="1"/>
    <x v="0"/>
    <x v="0"/>
    <n v="1"/>
    <x v="1"/>
    <x v="0"/>
    <x v="2"/>
    <d v="1992-12-27T00:00:00"/>
    <x v="534"/>
    <x v="0"/>
    <s v="tier - 2"/>
    <x v="1"/>
    <n v="30"/>
  </r>
  <r>
    <x v="538"/>
    <x v="509"/>
    <n v="28.49"/>
    <n v="4.8899999999999997"/>
    <x v="0"/>
    <x v="0"/>
    <x v="0"/>
    <n v="0"/>
    <x v="0"/>
    <x v="1"/>
    <x v="2"/>
    <d v="1967-08-30T00:00:00"/>
    <x v="535"/>
    <x v="0"/>
    <s v="tier - 1"/>
    <x v="8"/>
    <n v="55"/>
  </r>
  <r>
    <x v="539"/>
    <x v="510"/>
    <n v="28.5"/>
    <n v="5.55"/>
    <x v="1"/>
    <x v="0"/>
    <x v="0"/>
    <n v="1"/>
    <x v="0"/>
    <x v="1"/>
    <x v="2"/>
    <d v="1970-10-17T00:00:00"/>
    <x v="536"/>
    <x v="0"/>
    <s v="tier - 3"/>
    <x v="1"/>
    <n v="52"/>
  </r>
  <r>
    <x v="540"/>
    <x v="511"/>
    <n v="24.4"/>
    <n v="4.5199999999999996"/>
    <x v="0"/>
    <x v="0"/>
    <x v="0"/>
    <n v="1"/>
    <x v="0"/>
    <x v="2"/>
    <x v="2"/>
    <d v="1998-09-23T00:00:00"/>
    <x v="537"/>
    <x v="0"/>
    <s v="tier - 1"/>
    <x v="9"/>
    <n v="24"/>
  </r>
  <r>
    <x v="541"/>
    <x v="512"/>
    <n v="29.15"/>
    <n v="4.45"/>
    <x v="1"/>
    <x v="0"/>
    <x v="0"/>
    <n v="1"/>
    <x v="0"/>
    <x v="1"/>
    <x v="2"/>
    <d v="1986-08-12T00:00:00"/>
    <x v="538"/>
    <x v="0"/>
    <s v="tier - 3"/>
    <x v="3"/>
    <n v="36"/>
  </r>
  <r>
    <x v="542"/>
    <x v="513"/>
    <n v="27.28"/>
    <n v="4.72"/>
    <x v="0"/>
    <x v="1"/>
    <x v="0"/>
    <n v="1"/>
    <x v="0"/>
    <x v="1"/>
    <x v="2"/>
    <d v="1964-09-26T00:00:00"/>
    <x v="539"/>
    <x v="0"/>
    <s v="tier - 2"/>
    <x v="1"/>
    <n v="58"/>
  </r>
  <r>
    <x v="543"/>
    <x v="514"/>
    <n v="32.229999999999997"/>
    <n v="4.6500000000000004"/>
    <x v="1"/>
    <x v="0"/>
    <x v="1"/>
    <n v="1"/>
    <x v="1"/>
    <x v="0"/>
    <x v="2"/>
    <d v="1999-12-15T00:00:00"/>
    <x v="540"/>
    <x v="0"/>
    <s v="tier - 2"/>
    <x v="0"/>
    <n v="23"/>
  </r>
  <r>
    <x v="544"/>
    <x v="515"/>
    <n v="44.2"/>
    <n v="11.34"/>
    <x v="1"/>
    <x v="0"/>
    <x v="1"/>
    <n v="1"/>
    <x v="1"/>
    <x v="0"/>
    <x v="0"/>
    <d v="1995-07-04T00:00:00"/>
    <x v="541"/>
    <x v="0"/>
    <s v="tier - 3"/>
    <x v="1"/>
    <n v="27"/>
  </r>
  <r>
    <x v="545"/>
    <x v="516"/>
    <n v="29.734999999999999"/>
    <n v="4.53"/>
    <x v="0"/>
    <x v="0"/>
    <x v="1"/>
    <n v="1"/>
    <x v="1"/>
    <x v="1"/>
    <x v="2"/>
    <d v="1992-12-25T00:00:00"/>
    <x v="542"/>
    <x v="0"/>
    <s v="tier - 3"/>
    <x v="3"/>
    <n v="30"/>
  </r>
  <r>
    <x v="546"/>
    <x v="517"/>
    <n v="28.31"/>
    <n v="6.35"/>
    <x v="0"/>
    <x v="0"/>
    <x v="0"/>
    <n v="0"/>
    <x v="0"/>
    <x v="1"/>
    <x v="1"/>
    <d v="1995-08-03T00:00:00"/>
    <x v="543"/>
    <x v="0"/>
    <s v="tier - 1"/>
    <x v="0"/>
    <n v="27"/>
  </r>
  <r>
    <x v="547"/>
    <x v="518"/>
    <n v="46.62"/>
    <n v="8.51"/>
    <x v="0"/>
    <x v="0"/>
    <x v="0"/>
    <n v="0"/>
    <x v="1"/>
    <x v="0"/>
    <x v="0"/>
    <d v="2004-09-10T00:00:00"/>
    <x v="544"/>
    <x v="0"/>
    <s v="tier - 3"/>
    <x v="0"/>
    <n v="18"/>
  </r>
  <r>
    <x v="548"/>
    <x v="519"/>
    <n v="51.75"/>
    <n v="8.59"/>
    <x v="1"/>
    <x v="0"/>
    <x v="0"/>
    <n v="1"/>
    <x v="1"/>
    <x v="0"/>
    <x v="0"/>
    <d v="1997-06-15T00:00:00"/>
    <x v="545"/>
    <x v="0"/>
    <s v="tier - 1"/>
    <x v="0"/>
    <n v="25"/>
  </r>
  <r>
    <x v="549"/>
    <x v="520"/>
    <n v="25.7"/>
    <n v="4.13"/>
    <x v="1"/>
    <x v="0"/>
    <x v="0"/>
    <n v="0"/>
    <x v="0"/>
    <x v="1"/>
    <x v="2"/>
    <d v="1963-07-04T00:00:00"/>
    <x v="546"/>
    <x v="0"/>
    <s v="tier - 2"/>
    <x v="12"/>
    <n v="59"/>
  </r>
  <r>
    <x v="550"/>
    <x v="521"/>
    <n v="31.79"/>
    <n v="4.55"/>
    <x v="0"/>
    <x v="0"/>
    <x v="0"/>
    <n v="0"/>
    <x v="1"/>
    <x v="0"/>
    <x v="2"/>
    <d v="1993-07-12T00:00:00"/>
    <x v="547"/>
    <x v="0"/>
    <s v="tier - 1"/>
    <x v="1"/>
    <n v="29"/>
  </r>
  <r>
    <x v="551"/>
    <x v="177"/>
    <n v="24.795000000000002"/>
    <n v="4.5199999999999996"/>
    <x v="0"/>
    <x v="0"/>
    <x v="0"/>
    <n v="0"/>
    <x v="0"/>
    <x v="2"/>
    <x v="2"/>
    <d v="1999-10-24T00:00:00"/>
    <x v="548"/>
    <x v="0"/>
    <s v="tier - 1"/>
    <x v="1"/>
    <n v="23"/>
  </r>
  <r>
    <x v="552"/>
    <x v="522"/>
    <n v="53.98"/>
    <n v="5.07"/>
    <x v="0"/>
    <x v="0"/>
    <x v="1"/>
    <n v="1"/>
    <x v="1"/>
    <x v="0"/>
    <x v="2"/>
    <d v="1965-10-17T00:00:00"/>
    <x v="549"/>
    <x v="0"/>
    <s v="tier - 2"/>
    <x v="1"/>
    <n v="57"/>
  </r>
  <r>
    <x v="553"/>
    <x v="523"/>
    <n v="41.325000000000003"/>
    <n v="4.04"/>
    <x v="1"/>
    <x v="0"/>
    <x v="1"/>
    <n v="1"/>
    <x v="1"/>
    <x v="0"/>
    <x v="2"/>
    <d v="1975-06-27T00:00:00"/>
    <x v="550"/>
    <x v="0"/>
    <s v="tier - 3"/>
    <x v="8"/>
    <n v="47"/>
  </r>
  <r>
    <x v="554"/>
    <x v="524"/>
    <n v="51.65"/>
    <n v="5.3"/>
    <x v="1"/>
    <x v="0"/>
    <x v="0"/>
    <n v="0"/>
    <x v="1"/>
    <x v="0"/>
    <x v="2"/>
    <d v="2001-09-28T00:00:00"/>
    <x v="551"/>
    <x v="0"/>
    <s v="tier - 2"/>
    <x v="3"/>
    <n v="21"/>
  </r>
  <r>
    <x v="555"/>
    <x v="525"/>
    <n v="44.52"/>
    <n v="8.64"/>
    <x v="1"/>
    <x v="0"/>
    <x v="1"/>
    <n v="1"/>
    <x v="1"/>
    <x v="0"/>
    <x v="0"/>
    <d v="1977-10-17T00:00:00"/>
    <x v="552"/>
    <x v="0"/>
    <s v="tier - 2"/>
    <x v="0"/>
    <n v="45"/>
  </r>
  <r>
    <x v="556"/>
    <x v="526"/>
    <n v="53.29"/>
    <n v="4.03"/>
    <x v="0"/>
    <x v="0"/>
    <x v="1"/>
    <n v="1"/>
    <x v="1"/>
    <x v="0"/>
    <x v="2"/>
    <d v="1989-12-04T00:00:00"/>
    <x v="553"/>
    <x v="0"/>
    <s v="tier - 2"/>
    <x v="6"/>
    <n v="33"/>
  </r>
  <r>
    <x v="557"/>
    <x v="527"/>
    <n v="46.63"/>
    <n v="4.26"/>
    <x v="1"/>
    <x v="0"/>
    <x v="0"/>
    <n v="2"/>
    <x v="1"/>
    <x v="0"/>
    <x v="2"/>
    <d v="1979-11-12T00:00:00"/>
    <x v="554"/>
    <x v="0"/>
    <s v="tier - 3"/>
    <x v="1"/>
    <n v="43"/>
  </r>
  <r>
    <x v="558"/>
    <x v="528"/>
    <n v="28.88"/>
    <n v="5.35"/>
    <x v="0"/>
    <x v="0"/>
    <x v="1"/>
    <n v="1"/>
    <x v="0"/>
    <x v="1"/>
    <x v="2"/>
    <d v="1997-08-26T00:00:00"/>
    <x v="555"/>
    <x v="0"/>
    <s v="tier - 2"/>
    <x v="2"/>
    <n v="25"/>
  </r>
  <r>
    <x v="559"/>
    <x v="529"/>
    <n v="23.98"/>
    <n v="4.9000000000000004"/>
    <x v="0"/>
    <x v="0"/>
    <x v="0"/>
    <n v="0"/>
    <x v="1"/>
    <x v="2"/>
    <x v="2"/>
    <d v="1976-12-12T00:00:00"/>
    <x v="556"/>
    <x v="0"/>
    <s v="tier - 2"/>
    <x v="1"/>
    <n v="46"/>
  </r>
  <r>
    <x v="560"/>
    <x v="530"/>
    <n v="23.65"/>
    <n v="4.5"/>
    <x v="0"/>
    <x v="0"/>
    <x v="0"/>
    <n v="0"/>
    <x v="1"/>
    <x v="2"/>
    <x v="2"/>
    <d v="1963-12-08T00:00:00"/>
    <x v="557"/>
    <x v="0"/>
    <s v="tier - 2"/>
    <x v="1"/>
    <n v="59"/>
  </r>
  <r>
    <x v="561"/>
    <x v="531"/>
    <n v="49.09"/>
    <n v="8.3800000000000008"/>
    <x v="1"/>
    <x v="0"/>
    <x v="0"/>
    <n v="2"/>
    <x v="1"/>
    <x v="0"/>
    <x v="0"/>
    <d v="1979-10-10T00:00:00"/>
    <x v="558"/>
    <x v="0"/>
    <s v="tier - 2"/>
    <x v="1"/>
    <n v="43"/>
  </r>
  <r>
    <x v="562"/>
    <x v="532"/>
    <n v="28.024999999999999"/>
    <n v="7.03"/>
    <x v="0"/>
    <x v="0"/>
    <x v="0"/>
    <n v="0"/>
    <x v="0"/>
    <x v="1"/>
    <x v="0"/>
    <d v="1966-06-21T00:00:00"/>
    <x v="559"/>
    <x v="0"/>
    <s v="tier - 3"/>
    <x v="1"/>
    <n v="56"/>
  </r>
  <r>
    <x v="563"/>
    <x v="533"/>
    <n v="43.32"/>
    <n v="8.75"/>
    <x v="1"/>
    <x v="0"/>
    <x v="1"/>
    <n v="1"/>
    <x v="1"/>
    <x v="0"/>
    <x v="0"/>
    <d v="2003-07-14T00:00:00"/>
    <x v="560"/>
    <x v="0"/>
    <s v="tier - 1"/>
    <x v="1"/>
    <n v="19"/>
  </r>
  <r>
    <x v="564"/>
    <x v="534"/>
    <n v="45.92"/>
    <n v="9.51"/>
    <x v="0"/>
    <x v="0"/>
    <x v="0"/>
    <n v="0"/>
    <x v="1"/>
    <x v="0"/>
    <x v="0"/>
    <d v="1994-07-01T00:00:00"/>
    <x v="561"/>
    <x v="0"/>
    <s v="tier - 3"/>
    <x v="0"/>
    <n v="28"/>
  </r>
  <r>
    <x v="565"/>
    <x v="535"/>
    <n v="44.03"/>
    <n v="9.36"/>
    <x v="0"/>
    <x v="0"/>
    <x v="0"/>
    <n v="0"/>
    <x v="1"/>
    <x v="0"/>
    <x v="0"/>
    <d v="1990-10-25T00:00:00"/>
    <x v="562"/>
    <x v="0"/>
    <s v="tier - 3"/>
    <x v="0"/>
    <n v="32"/>
  </r>
  <r>
    <x v="566"/>
    <x v="536"/>
    <n v="24.6"/>
    <n v="4.8099999999999996"/>
    <x v="0"/>
    <x v="0"/>
    <x v="0"/>
    <n v="0"/>
    <x v="0"/>
    <x v="2"/>
    <x v="2"/>
    <d v="1970-07-26T00:00:00"/>
    <x v="563"/>
    <x v="0"/>
    <s v="tier - 3"/>
    <x v="1"/>
    <n v="52"/>
  </r>
  <r>
    <x v="567"/>
    <x v="537"/>
    <n v="49.15"/>
    <n v="8.08"/>
    <x v="0"/>
    <x v="0"/>
    <x v="0"/>
    <n v="0"/>
    <x v="1"/>
    <x v="0"/>
    <x v="0"/>
    <d v="2002-08-25T00:00:00"/>
    <x v="564"/>
    <x v="0"/>
    <s v="tier - 1"/>
    <x v="1"/>
    <n v="20"/>
  </r>
  <r>
    <x v="568"/>
    <x v="538"/>
    <n v="28.31"/>
    <n v="6.29"/>
    <x v="0"/>
    <x v="0"/>
    <x v="1"/>
    <n v="1"/>
    <x v="0"/>
    <x v="1"/>
    <x v="1"/>
    <d v="1963-11-16T00:00:00"/>
    <x v="565"/>
    <x v="0"/>
    <s v="tier - 2"/>
    <x v="1"/>
    <n v="59"/>
  </r>
  <r>
    <x v="569"/>
    <x v="539"/>
    <n v="22.99"/>
    <n v="6.29"/>
    <x v="0"/>
    <x v="0"/>
    <x v="0"/>
    <n v="1"/>
    <x v="0"/>
    <x v="2"/>
    <x v="1"/>
    <d v="1968-07-12T00:00:00"/>
    <x v="566"/>
    <x v="0"/>
    <s v="tier - 1"/>
    <x v="12"/>
    <n v="54"/>
  </r>
  <r>
    <x v="570"/>
    <x v="540"/>
    <n v="29.07"/>
    <n v="5.12"/>
    <x v="0"/>
    <x v="0"/>
    <x v="1"/>
    <n v="1"/>
    <x v="0"/>
    <x v="1"/>
    <x v="2"/>
    <d v="1965-06-16T00:00:00"/>
    <x v="567"/>
    <x v="0"/>
    <s v="tier - 2"/>
    <x v="8"/>
    <n v="57"/>
  </r>
  <r>
    <x v="571"/>
    <x v="541"/>
    <n v="42.02"/>
    <n v="9.9499999999999993"/>
    <x v="1"/>
    <x v="0"/>
    <x v="1"/>
    <n v="1"/>
    <x v="1"/>
    <x v="0"/>
    <x v="0"/>
    <d v="1990-12-29T00:00:00"/>
    <x v="568"/>
    <x v="0"/>
    <s v="tier - 2"/>
    <x v="3"/>
    <n v="32"/>
  </r>
  <r>
    <x v="572"/>
    <x v="542"/>
    <n v="49.07"/>
    <n v="9.08"/>
    <x v="1"/>
    <x v="0"/>
    <x v="0"/>
    <n v="1"/>
    <x v="1"/>
    <x v="0"/>
    <x v="0"/>
    <d v="1971-06-08T00:00:00"/>
    <x v="569"/>
    <x v="0"/>
    <s v="tier - 1"/>
    <x v="1"/>
    <n v="52"/>
  </r>
  <r>
    <x v="573"/>
    <x v="543"/>
    <n v="19.8"/>
    <n v="4.82"/>
    <x v="0"/>
    <x v="0"/>
    <x v="0"/>
    <n v="0"/>
    <x v="0"/>
    <x v="2"/>
    <x v="2"/>
    <d v="2003-11-02T00:00:00"/>
    <x v="570"/>
    <x v="1"/>
    <s v="tier - 1"/>
    <x v="1"/>
    <n v="19"/>
  </r>
  <r>
    <x v="574"/>
    <x v="544"/>
    <n v="27.36"/>
    <n v="4.6500000000000004"/>
    <x v="0"/>
    <x v="1"/>
    <x v="0"/>
    <n v="1"/>
    <x v="0"/>
    <x v="1"/>
    <x v="2"/>
    <d v="1992-10-18T00:00:00"/>
    <x v="571"/>
    <x v="1"/>
    <s v="tier - 1"/>
    <x v="1"/>
    <n v="30"/>
  </r>
  <r>
    <x v="575"/>
    <x v="545"/>
    <n v="42.95"/>
    <n v="5.16"/>
    <x v="1"/>
    <x v="0"/>
    <x v="0"/>
    <n v="1"/>
    <x v="1"/>
    <x v="0"/>
    <x v="2"/>
    <d v="2003-11-01T00:00:00"/>
    <x v="572"/>
    <x v="1"/>
    <s v="tier - 3"/>
    <x v="1"/>
    <n v="19"/>
  </r>
  <r>
    <x v="576"/>
    <x v="546"/>
    <n v="42.66"/>
    <n v="10.44"/>
    <x v="0"/>
    <x v="0"/>
    <x v="0"/>
    <n v="0"/>
    <x v="1"/>
    <x v="0"/>
    <x v="0"/>
    <d v="1963-07-12T00:00:00"/>
    <x v="573"/>
    <x v="1"/>
    <s v="tier - 3"/>
    <x v="8"/>
    <n v="59"/>
  </r>
  <r>
    <x v="577"/>
    <x v="547"/>
    <n v="33.630000000000003"/>
    <n v="5.69"/>
    <x v="0"/>
    <x v="0"/>
    <x v="0"/>
    <n v="1"/>
    <x v="1"/>
    <x v="0"/>
    <x v="2"/>
    <d v="1975-08-25T00:00:00"/>
    <x v="574"/>
    <x v="1"/>
    <s v="tier - 3"/>
    <x v="12"/>
    <n v="47"/>
  </r>
  <r>
    <x v="578"/>
    <x v="548"/>
    <n v="26.84"/>
    <n v="6.5"/>
    <x v="0"/>
    <x v="0"/>
    <x v="0"/>
    <n v="0"/>
    <x v="0"/>
    <x v="1"/>
    <x v="0"/>
    <d v="1982-10-22T00:00:00"/>
    <x v="575"/>
    <x v="1"/>
    <s v="tier - 1"/>
    <x v="0"/>
    <n v="40"/>
  </r>
  <r>
    <x v="579"/>
    <x v="549"/>
    <n v="28.3"/>
    <n v="5.73"/>
    <x v="0"/>
    <x v="0"/>
    <x v="1"/>
    <n v="1"/>
    <x v="0"/>
    <x v="1"/>
    <x v="1"/>
    <d v="2004-08-18T00:00:00"/>
    <x v="576"/>
    <x v="1"/>
    <s v="tier - 2"/>
    <x v="9"/>
    <n v="18"/>
  </r>
  <r>
    <x v="580"/>
    <x v="550"/>
    <n v="27.06"/>
    <n v="5.74"/>
    <x v="1"/>
    <x v="0"/>
    <x v="0"/>
    <n v="0"/>
    <x v="0"/>
    <x v="1"/>
    <x v="1"/>
    <d v="1964-06-07T00:00:00"/>
    <x v="577"/>
    <x v="1"/>
    <s v="tier - 2"/>
    <x v="1"/>
    <n v="59"/>
  </r>
  <r>
    <x v="581"/>
    <x v="551"/>
    <n v="47.13"/>
    <n v="8.6999999999999993"/>
    <x v="0"/>
    <x v="0"/>
    <x v="0"/>
    <n v="0"/>
    <x v="1"/>
    <x v="0"/>
    <x v="0"/>
    <d v="1965-09-16T00:00:00"/>
    <x v="578"/>
    <x v="1"/>
    <s v="tier - 2"/>
    <x v="12"/>
    <n v="57"/>
  </r>
  <r>
    <x v="582"/>
    <x v="552"/>
    <n v="51.72"/>
    <n v="5.09"/>
    <x v="0"/>
    <x v="0"/>
    <x v="0"/>
    <n v="0"/>
    <x v="1"/>
    <x v="0"/>
    <x v="2"/>
    <d v="1998-06-03T00:00:00"/>
    <x v="579"/>
    <x v="1"/>
    <s v="tier - 3"/>
    <x v="4"/>
    <n v="25"/>
  </r>
  <r>
    <x v="583"/>
    <x v="553"/>
    <n v="48.59"/>
    <n v="5.57"/>
    <x v="0"/>
    <x v="0"/>
    <x v="0"/>
    <n v="0"/>
    <x v="1"/>
    <x v="0"/>
    <x v="2"/>
    <d v="2002-06-28T00:00:00"/>
    <x v="580"/>
    <x v="1"/>
    <s v="tier - 3"/>
    <x v="0"/>
    <n v="20"/>
  </r>
  <r>
    <x v="584"/>
    <x v="554"/>
    <n v="45.18"/>
    <n v="10.87"/>
    <x v="0"/>
    <x v="0"/>
    <x v="0"/>
    <n v="0"/>
    <x v="1"/>
    <x v="0"/>
    <x v="0"/>
    <d v="2003-12-26T00:00:00"/>
    <x v="581"/>
    <x v="1"/>
    <s v="tier - 2"/>
    <x v="3"/>
    <n v="19"/>
  </r>
  <r>
    <x v="585"/>
    <x v="555"/>
    <n v="27.9"/>
    <n v="6.02"/>
    <x v="0"/>
    <x v="0"/>
    <x v="1"/>
    <n v="1"/>
    <x v="0"/>
    <x v="1"/>
    <x v="1"/>
    <d v="1996-06-10T00:00:00"/>
    <x v="582"/>
    <x v="1"/>
    <s v="tier - 3"/>
    <x v="0"/>
    <n v="26"/>
  </r>
  <r>
    <x v="586"/>
    <x v="556"/>
    <n v="51.33"/>
    <n v="7"/>
    <x v="0"/>
    <x v="0"/>
    <x v="0"/>
    <n v="0"/>
    <x v="1"/>
    <x v="0"/>
    <x v="0"/>
    <d v="1971-08-22T00:00:00"/>
    <x v="583"/>
    <x v="1"/>
    <s v="tier - 2"/>
    <x v="8"/>
    <n v="51"/>
  </r>
  <r>
    <x v="587"/>
    <x v="557"/>
    <n v="30.59"/>
    <n v="5.56"/>
    <x v="1"/>
    <x v="0"/>
    <x v="0"/>
    <n v="1"/>
    <x v="1"/>
    <x v="0"/>
    <x v="2"/>
    <d v="1980-07-16T00:00:00"/>
    <x v="584"/>
    <x v="1"/>
    <s v="tier - 3"/>
    <x v="1"/>
    <n v="42"/>
  </r>
  <r>
    <x v="588"/>
    <x v="77"/>
    <n v="39.229999999999997"/>
    <n v="8.4499999999999993"/>
    <x v="0"/>
    <x v="0"/>
    <x v="0"/>
    <n v="0"/>
    <x v="1"/>
    <x v="0"/>
    <x v="0"/>
    <d v="1977-08-25T00:00:00"/>
    <x v="585"/>
    <x v="1"/>
    <s v="tier - 3"/>
    <x v="8"/>
    <n v="45"/>
  </r>
  <r>
    <x v="589"/>
    <x v="558"/>
    <n v="19.094999999999999"/>
    <n v="6.19"/>
    <x v="0"/>
    <x v="0"/>
    <x v="0"/>
    <n v="0"/>
    <x v="0"/>
    <x v="2"/>
    <x v="1"/>
    <d v="1968-10-21T00:00:00"/>
    <x v="586"/>
    <x v="1"/>
    <s v="tier - 3"/>
    <x v="1"/>
    <n v="54"/>
  </r>
  <r>
    <x v="590"/>
    <x v="559"/>
    <n v="49.72"/>
    <n v="7.71"/>
    <x v="0"/>
    <x v="0"/>
    <x v="0"/>
    <n v="0"/>
    <x v="1"/>
    <x v="0"/>
    <x v="0"/>
    <d v="2003-09-10T00:00:00"/>
    <x v="587"/>
    <x v="1"/>
    <s v="tier - 2"/>
    <x v="3"/>
    <n v="19"/>
  </r>
  <r>
    <x v="591"/>
    <x v="66"/>
    <n v="21.754999999999999"/>
    <n v="4.63"/>
    <x v="0"/>
    <x v="0"/>
    <x v="1"/>
    <n v="1"/>
    <x v="0"/>
    <x v="2"/>
    <x v="2"/>
    <d v="1974-08-08T00:00:00"/>
    <x v="588"/>
    <x v="1"/>
    <s v="tier - 3"/>
    <x v="3"/>
    <n v="48"/>
  </r>
  <r>
    <x v="592"/>
    <x v="560"/>
    <n v="48.39"/>
    <n v="4.6100000000000003"/>
    <x v="0"/>
    <x v="0"/>
    <x v="0"/>
    <n v="0"/>
    <x v="1"/>
    <x v="0"/>
    <x v="2"/>
    <d v="1995-10-19T00:00:00"/>
    <x v="589"/>
    <x v="1"/>
    <s v="tier - 3"/>
    <x v="2"/>
    <n v="27"/>
  </r>
  <r>
    <x v="593"/>
    <x v="561"/>
    <n v="47.15"/>
    <n v="9.5299999999999994"/>
    <x v="1"/>
    <x v="0"/>
    <x v="0"/>
    <n v="1"/>
    <x v="1"/>
    <x v="0"/>
    <x v="0"/>
    <d v="1962-07-29T00:00:00"/>
    <x v="590"/>
    <x v="1"/>
    <s v="tier - 2"/>
    <x v="12"/>
    <n v="60"/>
  </r>
  <r>
    <x v="594"/>
    <x v="562"/>
    <n v="47.59"/>
    <n v="11.43"/>
    <x v="1"/>
    <x v="0"/>
    <x v="0"/>
    <n v="2"/>
    <x v="1"/>
    <x v="0"/>
    <x v="0"/>
    <d v="1989-09-23T00:00:00"/>
    <x v="591"/>
    <x v="1"/>
    <s v="tier - 2"/>
    <x v="2"/>
    <n v="33"/>
  </r>
  <r>
    <x v="595"/>
    <x v="563"/>
    <n v="39.81"/>
    <n v="7.65"/>
    <x v="1"/>
    <x v="0"/>
    <x v="1"/>
    <n v="1"/>
    <x v="1"/>
    <x v="0"/>
    <x v="0"/>
    <d v="1974-08-28T00:00:00"/>
    <x v="592"/>
    <x v="1"/>
    <s v="tier - 1"/>
    <x v="1"/>
    <n v="48"/>
  </r>
  <r>
    <x v="596"/>
    <x v="564"/>
    <n v="31.02"/>
    <n v="5.87"/>
    <x v="1"/>
    <x v="0"/>
    <x v="0"/>
    <n v="0"/>
    <x v="1"/>
    <x v="0"/>
    <x v="1"/>
    <d v="1993-11-05T00:00:00"/>
    <x v="593"/>
    <x v="1"/>
    <s v="tier - 1"/>
    <x v="2"/>
    <n v="29"/>
  </r>
  <r>
    <x v="597"/>
    <x v="565"/>
    <n v="24.75"/>
    <n v="4.3600000000000003"/>
    <x v="1"/>
    <x v="0"/>
    <x v="0"/>
    <n v="1"/>
    <x v="0"/>
    <x v="2"/>
    <x v="2"/>
    <d v="1977-09-25T00:00:00"/>
    <x v="594"/>
    <x v="1"/>
    <s v="tier - 1"/>
    <x v="1"/>
    <n v="45"/>
  </r>
  <r>
    <x v="598"/>
    <x v="566"/>
    <n v="30.114999999999998"/>
    <n v="10.119999999999999"/>
    <x v="0"/>
    <x v="0"/>
    <x v="0"/>
    <n v="3"/>
    <x v="1"/>
    <x v="0"/>
    <x v="0"/>
    <d v="1975-07-24T00:00:00"/>
    <x v="595"/>
    <x v="1"/>
    <s v="tier - 1"/>
    <x v="12"/>
    <n v="47"/>
  </r>
  <r>
    <x v="599"/>
    <x v="567"/>
    <n v="26.03"/>
    <n v="4.01"/>
    <x v="0"/>
    <x v="0"/>
    <x v="1"/>
    <n v="1"/>
    <x v="0"/>
    <x v="1"/>
    <x v="2"/>
    <d v="1970-07-10T00:00:00"/>
    <x v="596"/>
    <x v="1"/>
    <s v="tier - 2"/>
    <x v="3"/>
    <n v="52"/>
  </r>
  <r>
    <x v="600"/>
    <x v="568"/>
    <n v="20.045000000000002"/>
    <n v="4.7699999999999996"/>
    <x v="1"/>
    <x v="0"/>
    <x v="0"/>
    <n v="1"/>
    <x v="0"/>
    <x v="2"/>
    <x v="2"/>
    <d v="1963-06-25T00:00:00"/>
    <x v="597"/>
    <x v="1"/>
    <s v="tier - 2"/>
    <x v="8"/>
    <n v="59"/>
  </r>
  <r>
    <x v="601"/>
    <x v="569"/>
    <n v="40.24"/>
    <n v="6.83"/>
    <x v="0"/>
    <x v="0"/>
    <x v="0"/>
    <n v="0"/>
    <x v="1"/>
    <x v="0"/>
    <x v="0"/>
    <d v="2001-06-25T00:00:00"/>
    <x v="598"/>
    <x v="1"/>
    <s v="tier - 1"/>
    <x v="0"/>
    <n v="21"/>
  </r>
  <r>
    <x v="602"/>
    <x v="570"/>
    <n v="43.15"/>
    <n v="6.14"/>
    <x v="1"/>
    <x v="0"/>
    <x v="1"/>
    <n v="1"/>
    <x v="1"/>
    <x v="0"/>
    <x v="1"/>
    <d v="1995-12-23T00:00:00"/>
    <x v="599"/>
    <x v="1"/>
    <s v="tier - 1"/>
    <x v="0"/>
    <n v="27"/>
  </r>
  <r>
    <x v="603"/>
    <x v="571"/>
    <n v="27.7"/>
    <n v="5.6"/>
    <x v="0"/>
    <x v="0"/>
    <x v="1"/>
    <n v="1"/>
    <x v="0"/>
    <x v="1"/>
    <x v="2"/>
    <d v="1958-10-10T00:00:00"/>
    <x v="600"/>
    <x v="1"/>
    <s v="tier - 2"/>
    <x v="1"/>
    <n v="64"/>
  </r>
  <r>
    <x v="604"/>
    <x v="114"/>
    <n v="45.68"/>
    <n v="4.8"/>
    <x v="0"/>
    <x v="0"/>
    <x v="0"/>
    <n v="2"/>
    <x v="1"/>
    <x v="0"/>
    <x v="2"/>
    <d v="2003-12-20T00:00:00"/>
    <x v="601"/>
    <x v="1"/>
    <s v="tier - 1"/>
    <x v="1"/>
    <n v="19"/>
  </r>
  <r>
    <x v="605"/>
    <x v="572"/>
    <n v="27.3"/>
    <n v="11.89"/>
    <x v="0"/>
    <x v="0"/>
    <x v="0"/>
    <n v="0"/>
    <x v="0"/>
    <x v="1"/>
    <x v="0"/>
    <d v="1995-09-28T00:00:00"/>
    <x v="602"/>
    <x v="1"/>
    <s v="tier - 3"/>
    <x v="1"/>
    <n v="27"/>
  </r>
  <r>
    <x v="606"/>
    <x v="573"/>
    <n v="54.45"/>
    <n v="4.7300000000000004"/>
    <x v="1"/>
    <x v="0"/>
    <x v="0"/>
    <n v="1"/>
    <x v="1"/>
    <x v="0"/>
    <x v="2"/>
    <d v="1965-12-05T00:00:00"/>
    <x v="603"/>
    <x v="1"/>
    <s v="tier - 3"/>
    <x v="12"/>
    <n v="57"/>
  </r>
  <r>
    <x v="607"/>
    <x v="574"/>
    <n v="54.43"/>
    <n v="4.6100000000000003"/>
    <x v="1"/>
    <x v="0"/>
    <x v="0"/>
    <n v="1"/>
    <x v="1"/>
    <x v="0"/>
    <x v="2"/>
    <d v="1969-08-08T00:00:00"/>
    <x v="604"/>
    <x v="1"/>
    <s v="tier - 3"/>
    <x v="12"/>
    <n v="53"/>
  </r>
  <r>
    <x v="608"/>
    <x v="575"/>
    <n v="48.01"/>
    <n v="7.3"/>
    <x v="0"/>
    <x v="0"/>
    <x v="0"/>
    <n v="0"/>
    <x v="1"/>
    <x v="0"/>
    <x v="0"/>
    <d v="2003-08-24T00:00:00"/>
    <x v="605"/>
    <x v="1"/>
    <s v="tier - 3"/>
    <x v="3"/>
    <n v="19"/>
  </r>
  <r>
    <x v="609"/>
    <x v="576"/>
    <n v="48.32"/>
    <n v="5.88"/>
    <x v="0"/>
    <x v="0"/>
    <x v="0"/>
    <n v="0"/>
    <x v="1"/>
    <x v="0"/>
    <x v="1"/>
    <d v="1972-07-30T00:00:00"/>
    <x v="606"/>
    <x v="1"/>
    <s v="tier - 2"/>
    <x v="8"/>
    <n v="50"/>
  </r>
  <r>
    <x v="610"/>
    <x v="577"/>
    <n v="22.895"/>
    <n v="4.0599999999999996"/>
    <x v="0"/>
    <x v="0"/>
    <x v="1"/>
    <n v="1"/>
    <x v="0"/>
    <x v="2"/>
    <x v="2"/>
    <d v="2002-09-08T00:00:00"/>
    <x v="607"/>
    <x v="1"/>
    <s v="tier - 1"/>
    <x v="3"/>
    <n v="20"/>
  </r>
  <r>
    <x v="611"/>
    <x v="578"/>
    <n v="54.85"/>
    <n v="4.9000000000000004"/>
    <x v="0"/>
    <x v="0"/>
    <x v="0"/>
    <n v="1"/>
    <x v="1"/>
    <x v="0"/>
    <x v="2"/>
    <d v="1988-08-21T00:00:00"/>
    <x v="608"/>
    <x v="1"/>
    <s v="tier - 1"/>
    <x v="1"/>
    <n v="34"/>
  </r>
  <r>
    <x v="612"/>
    <x v="579"/>
    <n v="21.85"/>
    <n v="5.52"/>
    <x v="0"/>
    <x v="0"/>
    <x v="1"/>
    <n v="1"/>
    <x v="0"/>
    <x v="2"/>
    <x v="2"/>
    <d v="1988-08-06T00:00:00"/>
    <x v="609"/>
    <x v="1"/>
    <s v="tier - 2"/>
    <x v="1"/>
    <n v="34"/>
  </r>
  <r>
    <x v="613"/>
    <x v="580"/>
    <n v="51.86"/>
    <n v="5.2"/>
    <x v="1"/>
    <x v="0"/>
    <x v="0"/>
    <n v="0"/>
    <x v="1"/>
    <x v="0"/>
    <x v="2"/>
    <d v="1974-09-11T00:00:00"/>
    <x v="610"/>
    <x v="1"/>
    <s v="tier - 3"/>
    <x v="1"/>
    <n v="48"/>
  </r>
  <r>
    <x v="614"/>
    <x v="581"/>
    <n v="39.049999999999997"/>
    <n v="7.59"/>
    <x v="0"/>
    <x v="0"/>
    <x v="0"/>
    <n v="3"/>
    <x v="1"/>
    <x v="0"/>
    <x v="0"/>
    <d v="1982-07-06T00:00:00"/>
    <x v="611"/>
    <x v="1"/>
    <s v="tier - 1"/>
    <x v="12"/>
    <n v="40"/>
  </r>
  <r>
    <x v="615"/>
    <x v="69"/>
    <n v="31.824999999999999"/>
    <n v="8.2799999999999994"/>
    <x v="0"/>
    <x v="0"/>
    <x v="0"/>
    <n v="3"/>
    <x v="1"/>
    <x v="0"/>
    <x v="0"/>
    <d v="1993-12-12T00:00:00"/>
    <x v="612"/>
    <x v="1"/>
    <s v="tier - 3"/>
    <x v="6"/>
    <n v="29"/>
  </r>
  <r>
    <x v="616"/>
    <x v="274"/>
    <n v="46.43"/>
    <n v="6.72"/>
    <x v="0"/>
    <x v="0"/>
    <x v="0"/>
    <n v="0"/>
    <x v="1"/>
    <x v="0"/>
    <x v="0"/>
    <d v="1987-10-06T00:00:00"/>
    <x v="613"/>
    <x v="1"/>
    <s v="tier - 1"/>
    <x v="3"/>
    <n v="35"/>
  </r>
  <r>
    <x v="617"/>
    <x v="582"/>
    <n v="53.63"/>
    <n v="5.47"/>
    <x v="1"/>
    <x v="0"/>
    <x v="0"/>
    <n v="1"/>
    <x v="1"/>
    <x v="0"/>
    <x v="2"/>
    <d v="1993-08-08T00:00:00"/>
    <x v="614"/>
    <x v="1"/>
    <s v="tier - 1"/>
    <x v="2"/>
    <n v="29"/>
  </r>
  <r>
    <x v="618"/>
    <x v="583"/>
    <n v="48.7"/>
    <n v="4.71"/>
    <x v="0"/>
    <x v="0"/>
    <x v="0"/>
    <n v="0"/>
    <x v="1"/>
    <x v="0"/>
    <x v="2"/>
    <d v="1985-08-27T00:00:00"/>
    <x v="615"/>
    <x v="1"/>
    <s v="tier - 3"/>
    <x v="1"/>
    <n v="37"/>
  </r>
  <r>
    <x v="619"/>
    <x v="584"/>
    <n v="48.81"/>
    <n v="5.49"/>
    <x v="0"/>
    <x v="0"/>
    <x v="0"/>
    <n v="0"/>
    <x v="1"/>
    <x v="0"/>
    <x v="2"/>
    <d v="1958-06-21T00:00:00"/>
    <x v="616"/>
    <x v="1"/>
    <s v="tier - 2"/>
    <x v="0"/>
    <n v="64"/>
  </r>
  <r>
    <x v="620"/>
    <x v="585"/>
    <n v="47.53"/>
    <n v="4.72"/>
    <x v="0"/>
    <x v="0"/>
    <x v="0"/>
    <n v="0"/>
    <x v="1"/>
    <x v="0"/>
    <x v="2"/>
    <d v="1958-10-22T00:00:00"/>
    <x v="617"/>
    <x v="1"/>
    <s v="tier - 2"/>
    <x v="2"/>
    <n v="64"/>
  </r>
  <r>
    <x v="621"/>
    <x v="586"/>
    <n v="36.85"/>
    <n v="6.7"/>
    <x v="0"/>
    <x v="0"/>
    <x v="0"/>
    <n v="0"/>
    <x v="1"/>
    <x v="0"/>
    <x v="0"/>
    <d v="1978-09-16T00:00:00"/>
    <x v="618"/>
    <x v="1"/>
    <s v="tier - 2"/>
    <x v="12"/>
    <n v="44"/>
  </r>
  <r>
    <x v="622"/>
    <x v="587"/>
    <n v="29.3"/>
    <n v="5.5"/>
    <x v="0"/>
    <x v="0"/>
    <x v="0"/>
    <n v="0"/>
    <x v="1"/>
    <x v="1"/>
    <x v="2"/>
    <d v="1988-12-05T00:00:00"/>
    <x v="619"/>
    <x v="1"/>
    <s v="tier - 3"/>
    <x v="1"/>
    <n v="34"/>
  </r>
  <r>
    <x v="623"/>
    <x v="588"/>
    <n v="19.3"/>
    <n v="4.46"/>
    <x v="0"/>
    <x v="0"/>
    <x v="0"/>
    <n v="1"/>
    <x v="0"/>
    <x v="2"/>
    <x v="2"/>
    <d v="1980-09-19T00:00:00"/>
    <x v="620"/>
    <x v="1"/>
    <s v="tier - 2"/>
    <x v="1"/>
    <n v="42"/>
  </r>
  <r>
    <x v="624"/>
    <x v="589"/>
    <n v="24.13"/>
    <n v="5.29"/>
    <x v="1"/>
    <x v="0"/>
    <x v="1"/>
    <n v="1"/>
    <x v="0"/>
    <x v="2"/>
    <x v="2"/>
    <d v="1982-07-24T00:00:00"/>
    <x v="621"/>
    <x v="1"/>
    <s v="tier - 1"/>
    <x v="1"/>
    <n v="40"/>
  </r>
  <r>
    <x v="625"/>
    <x v="590"/>
    <n v="46.7"/>
    <n v="10.99"/>
    <x v="0"/>
    <x v="0"/>
    <x v="0"/>
    <n v="0"/>
    <x v="1"/>
    <x v="0"/>
    <x v="0"/>
    <d v="1980-10-12T00:00:00"/>
    <x v="622"/>
    <x v="1"/>
    <s v="tier - 3"/>
    <x v="12"/>
    <n v="42"/>
  </r>
  <r>
    <x v="626"/>
    <x v="591"/>
    <n v="45.27"/>
    <n v="5.2"/>
    <x v="1"/>
    <x v="0"/>
    <x v="0"/>
    <n v="0"/>
    <x v="1"/>
    <x v="0"/>
    <x v="2"/>
    <d v="1962-12-25T00:00:00"/>
    <x v="623"/>
    <x v="1"/>
    <s v="tier - 1"/>
    <x v="13"/>
    <n v="60"/>
  </r>
  <r>
    <x v="627"/>
    <x v="592"/>
    <n v="44.29"/>
    <n v="9.66"/>
    <x v="0"/>
    <x v="0"/>
    <x v="0"/>
    <n v="2"/>
    <x v="1"/>
    <x v="0"/>
    <x v="0"/>
    <d v="1982-11-11T00:00:00"/>
    <x v="624"/>
    <x v="1"/>
    <s v="tier - 3"/>
    <x v="3"/>
    <n v="40"/>
  </r>
  <r>
    <x v="628"/>
    <x v="593"/>
    <n v="54.59"/>
    <n v="4.22"/>
    <x v="1"/>
    <x v="0"/>
    <x v="0"/>
    <n v="1"/>
    <x v="1"/>
    <x v="0"/>
    <x v="2"/>
    <d v="1984-06-26T00:00:00"/>
    <x v="625"/>
    <x v="1"/>
    <s v="tier - 3"/>
    <x v="3"/>
    <n v="38"/>
  </r>
  <r>
    <x v="629"/>
    <x v="264"/>
    <n v="32.965000000000003"/>
    <n v="11.78"/>
    <x v="0"/>
    <x v="0"/>
    <x v="0"/>
    <n v="0"/>
    <x v="1"/>
    <x v="0"/>
    <x v="0"/>
    <d v="1997-10-09T00:00:00"/>
    <x v="626"/>
    <x v="1"/>
    <s v="tier - 2"/>
    <x v="1"/>
    <n v="25"/>
  </r>
  <r>
    <x v="630"/>
    <x v="594"/>
    <n v="38.049999999999997"/>
    <n v="9.6199999999999992"/>
    <x v="0"/>
    <x v="0"/>
    <x v="0"/>
    <n v="0"/>
    <x v="1"/>
    <x v="0"/>
    <x v="0"/>
    <d v="1974-08-29T00:00:00"/>
    <x v="627"/>
    <x v="1"/>
    <s v="tier - 1"/>
    <x v="1"/>
    <n v="48"/>
  </r>
  <r>
    <x v="631"/>
    <x v="595"/>
    <n v="46.14"/>
    <n v="10.78"/>
    <x v="0"/>
    <x v="0"/>
    <x v="0"/>
    <n v="0"/>
    <x v="1"/>
    <x v="0"/>
    <x v="0"/>
    <d v="1976-09-20T00:00:00"/>
    <x v="628"/>
    <x v="1"/>
    <s v="tier - 2"/>
    <x v="1"/>
    <n v="46"/>
  </r>
  <r>
    <x v="632"/>
    <x v="596"/>
    <n v="41.325000000000003"/>
    <n v="5.1100000000000003"/>
    <x v="1"/>
    <x v="0"/>
    <x v="0"/>
    <n v="2"/>
    <x v="1"/>
    <x v="0"/>
    <x v="2"/>
    <d v="1973-06-26T00:00:00"/>
    <x v="629"/>
    <x v="1"/>
    <s v="tier - 2"/>
    <x v="12"/>
    <n v="49"/>
  </r>
  <r>
    <x v="633"/>
    <x v="597"/>
    <n v="44.64"/>
    <n v="7.18"/>
    <x v="0"/>
    <x v="0"/>
    <x v="0"/>
    <n v="0"/>
    <x v="1"/>
    <x v="0"/>
    <x v="0"/>
    <d v="1988-12-22T00:00:00"/>
    <x v="630"/>
    <x v="1"/>
    <s v="tier - 2"/>
    <x v="3"/>
    <n v="34"/>
  </r>
  <r>
    <x v="634"/>
    <x v="319"/>
    <n v="25.175000000000001"/>
    <n v="4.96"/>
    <x v="0"/>
    <x v="1"/>
    <x v="0"/>
    <n v="1"/>
    <x v="1"/>
    <x v="1"/>
    <x v="2"/>
    <d v="1960-06-06T00:00:00"/>
    <x v="631"/>
    <x v="1"/>
    <s v="tier - 2"/>
    <x v="1"/>
    <n v="63"/>
  </r>
  <r>
    <x v="635"/>
    <x v="598"/>
    <n v="43.11"/>
    <n v="4.67"/>
    <x v="1"/>
    <x v="0"/>
    <x v="0"/>
    <n v="0"/>
    <x v="1"/>
    <x v="0"/>
    <x v="2"/>
    <d v="1965-10-28T00:00:00"/>
    <x v="632"/>
    <x v="1"/>
    <s v="tier - 2"/>
    <x v="12"/>
    <n v="57"/>
  </r>
  <r>
    <x v="636"/>
    <x v="599"/>
    <n v="53.32"/>
    <n v="5.0599999999999996"/>
    <x v="0"/>
    <x v="0"/>
    <x v="0"/>
    <n v="0"/>
    <x v="1"/>
    <x v="0"/>
    <x v="2"/>
    <d v="1974-07-30T00:00:00"/>
    <x v="633"/>
    <x v="1"/>
    <s v="tier - 2"/>
    <x v="1"/>
    <n v="48"/>
  </r>
  <r>
    <x v="637"/>
    <x v="600"/>
    <n v="38.04"/>
    <n v="5.0199999999999996"/>
    <x v="1"/>
    <x v="0"/>
    <x v="0"/>
    <n v="1"/>
    <x v="1"/>
    <x v="0"/>
    <x v="2"/>
    <d v="1959-10-02T00:00:00"/>
    <x v="634"/>
    <x v="1"/>
    <s v="tier - 3"/>
    <x v="1"/>
    <n v="63"/>
  </r>
  <r>
    <x v="638"/>
    <x v="601"/>
    <n v="37.9"/>
    <n v="7.76"/>
    <x v="0"/>
    <x v="0"/>
    <x v="0"/>
    <n v="0"/>
    <x v="1"/>
    <x v="0"/>
    <x v="0"/>
    <d v="1974-06-28T00:00:00"/>
    <x v="635"/>
    <x v="1"/>
    <s v="tier - 2"/>
    <x v="12"/>
    <n v="48"/>
  </r>
  <r>
    <x v="639"/>
    <x v="3"/>
    <n v="39.6"/>
    <n v="9.32"/>
    <x v="0"/>
    <x v="0"/>
    <x v="0"/>
    <n v="0"/>
    <x v="1"/>
    <x v="0"/>
    <x v="0"/>
    <d v="2004-07-17T00:00:00"/>
    <x v="636"/>
    <x v="1"/>
    <s v="tier - 3"/>
    <x v="5"/>
    <n v="18"/>
  </r>
  <r>
    <x v="640"/>
    <x v="602"/>
    <n v="50.92"/>
    <n v="5.31"/>
    <x v="1"/>
    <x v="0"/>
    <x v="0"/>
    <n v="1"/>
    <x v="1"/>
    <x v="0"/>
    <x v="2"/>
    <d v="1976-07-20T00:00:00"/>
    <x v="637"/>
    <x v="1"/>
    <s v="tier - 1"/>
    <x v="12"/>
    <n v="46"/>
  </r>
  <r>
    <x v="641"/>
    <x v="63"/>
    <n v="21.85"/>
    <n v="5.56"/>
    <x v="1"/>
    <x v="0"/>
    <x v="0"/>
    <n v="0"/>
    <x v="0"/>
    <x v="2"/>
    <x v="2"/>
    <d v="1990-10-25T00:00:00"/>
    <x v="638"/>
    <x v="1"/>
    <s v="tier - 1"/>
    <x v="1"/>
    <n v="32"/>
  </r>
  <r>
    <x v="642"/>
    <x v="603"/>
    <n v="36.08"/>
    <n v="7.11"/>
    <x v="1"/>
    <x v="0"/>
    <x v="1"/>
    <n v="1"/>
    <x v="1"/>
    <x v="0"/>
    <x v="0"/>
    <d v="1964-09-04T00:00:00"/>
    <x v="639"/>
    <x v="1"/>
    <s v="tier - 2"/>
    <x v="1"/>
    <n v="58"/>
  </r>
  <r>
    <x v="643"/>
    <x v="604"/>
    <n v="40.44"/>
    <n v="5.13"/>
    <x v="1"/>
    <x v="0"/>
    <x v="1"/>
    <n v="1"/>
    <x v="1"/>
    <x v="0"/>
    <x v="2"/>
    <d v="1962-09-06T00:00:00"/>
    <x v="640"/>
    <x v="1"/>
    <s v="tier - 2"/>
    <x v="3"/>
    <n v="60"/>
  </r>
  <r>
    <x v="644"/>
    <x v="605"/>
    <n v="38.094999999999999"/>
    <n v="10.199999999999999"/>
    <x v="0"/>
    <x v="0"/>
    <x v="0"/>
    <n v="0"/>
    <x v="1"/>
    <x v="0"/>
    <x v="0"/>
    <d v="1968-07-18T00:00:00"/>
    <x v="641"/>
    <x v="1"/>
    <s v="tier - 1"/>
    <x v="12"/>
    <n v="54"/>
  </r>
  <r>
    <x v="645"/>
    <x v="606"/>
    <n v="44.95"/>
    <n v="10.4"/>
    <x v="0"/>
    <x v="0"/>
    <x v="0"/>
    <n v="0"/>
    <x v="1"/>
    <x v="0"/>
    <x v="0"/>
    <d v="1988-12-17T00:00:00"/>
    <x v="642"/>
    <x v="1"/>
    <s v="tier - 3"/>
    <x v="8"/>
    <n v="34"/>
  </r>
  <r>
    <x v="646"/>
    <x v="607"/>
    <n v="35.54"/>
    <n v="10.67"/>
    <x v="0"/>
    <x v="0"/>
    <x v="0"/>
    <n v="0"/>
    <x v="1"/>
    <x v="0"/>
    <x v="0"/>
    <d v="2001-07-14T00:00:00"/>
    <x v="643"/>
    <x v="1"/>
    <s v="tier - 3"/>
    <x v="2"/>
    <n v="21"/>
  </r>
  <r>
    <x v="647"/>
    <x v="608"/>
    <n v="39.799999999999997"/>
    <n v="4.6500000000000004"/>
    <x v="1"/>
    <x v="0"/>
    <x v="0"/>
    <n v="2"/>
    <x v="1"/>
    <x v="0"/>
    <x v="2"/>
    <d v="1963-12-13T00:00:00"/>
    <x v="644"/>
    <x v="1"/>
    <s v="tier - 3"/>
    <x v="14"/>
    <n v="59"/>
  </r>
  <r>
    <x v="648"/>
    <x v="609"/>
    <n v="33.659999999999997"/>
    <n v="5.65"/>
    <x v="1"/>
    <x v="0"/>
    <x v="0"/>
    <n v="2"/>
    <x v="1"/>
    <x v="0"/>
    <x v="2"/>
    <d v="1969-09-16T00:00:00"/>
    <x v="645"/>
    <x v="1"/>
    <s v="tier - 2"/>
    <x v="8"/>
    <n v="53"/>
  </r>
  <r>
    <x v="649"/>
    <x v="610"/>
    <n v="35.5"/>
    <n v="11.97"/>
    <x v="0"/>
    <x v="0"/>
    <x v="0"/>
    <n v="0"/>
    <x v="1"/>
    <x v="0"/>
    <x v="0"/>
    <d v="1960-07-25T00:00:00"/>
    <x v="646"/>
    <x v="1"/>
    <s v="tier - 2"/>
    <x v="2"/>
    <n v="62"/>
  </r>
  <r>
    <x v="650"/>
    <x v="611"/>
    <n v="41.63"/>
    <n v="6.71"/>
    <x v="0"/>
    <x v="0"/>
    <x v="0"/>
    <n v="0"/>
    <x v="1"/>
    <x v="0"/>
    <x v="0"/>
    <d v="1978-11-23T00:00:00"/>
    <x v="647"/>
    <x v="1"/>
    <s v="tier - 1"/>
    <x v="1"/>
    <n v="44"/>
  </r>
  <r>
    <x v="651"/>
    <x v="612"/>
    <n v="46.49"/>
    <n v="11.92"/>
    <x v="0"/>
    <x v="0"/>
    <x v="0"/>
    <n v="0"/>
    <x v="1"/>
    <x v="0"/>
    <x v="0"/>
    <d v="1962-06-17T00:00:00"/>
    <x v="648"/>
    <x v="1"/>
    <s v="tier - 1"/>
    <x v="1"/>
    <n v="60"/>
  </r>
  <r>
    <x v="652"/>
    <x v="613"/>
    <n v="43.29"/>
    <n v="5.35"/>
    <x v="0"/>
    <x v="0"/>
    <x v="0"/>
    <n v="2"/>
    <x v="1"/>
    <x v="0"/>
    <x v="2"/>
    <d v="1959-12-03T00:00:00"/>
    <x v="649"/>
    <x v="1"/>
    <s v="tier - 3"/>
    <x v="3"/>
    <n v="63"/>
  </r>
  <r>
    <x v="653"/>
    <x v="614"/>
    <n v="43.08"/>
    <n v="8.9600000000000009"/>
    <x v="1"/>
    <x v="0"/>
    <x v="0"/>
    <n v="1"/>
    <x v="1"/>
    <x v="0"/>
    <x v="0"/>
    <d v="1959-06-04T00:00:00"/>
    <x v="650"/>
    <x v="1"/>
    <s v="tier - 1"/>
    <x v="0"/>
    <n v="64"/>
  </r>
  <r>
    <x v="654"/>
    <x v="615"/>
    <n v="39.07"/>
    <n v="11.93"/>
    <x v="0"/>
    <x v="0"/>
    <x v="0"/>
    <n v="0"/>
    <x v="1"/>
    <x v="0"/>
    <x v="0"/>
    <d v="1962-10-25T00:00:00"/>
    <x v="651"/>
    <x v="1"/>
    <s v="tier - 2"/>
    <x v="1"/>
    <n v="60"/>
  </r>
  <r>
    <x v="655"/>
    <x v="616"/>
    <n v="41.3"/>
    <n v="9.59"/>
    <x v="0"/>
    <x v="0"/>
    <x v="0"/>
    <n v="0"/>
    <x v="1"/>
    <x v="0"/>
    <x v="0"/>
    <d v="1971-11-25T00:00:00"/>
    <x v="652"/>
    <x v="1"/>
    <s v="tier - 1"/>
    <x v="8"/>
    <n v="51"/>
  </r>
  <r>
    <x v="656"/>
    <x v="617"/>
    <n v="42.95"/>
    <n v="11.88"/>
    <x v="1"/>
    <x v="0"/>
    <x v="0"/>
    <n v="2"/>
    <x v="1"/>
    <x v="0"/>
    <x v="0"/>
    <d v="1978-09-05T00:00:00"/>
    <x v="653"/>
    <x v="1"/>
    <s v="tier - 1"/>
    <x v="3"/>
    <n v="44"/>
  </r>
  <r>
    <x v="657"/>
    <x v="618"/>
    <n v="46.96"/>
    <n v="4.6399999999999997"/>
    <x v="0"/>
    <x v="0"/>
    <x v="1"/>
    <n v="1"/>
    <x v="1"/>
    <x v="0"/>
    <x v="2"/>
    <d v="1972-11-07T00:00:00"/>
    <x v="654"/>
    <x v="1"/>
    <s v="tier - 1"/>
    <x v="1"/>
    <n v="50"/>
  </r>
  <r>
    <x v="658"/>
    <x v="619"/>
    <n v="30.495000000000001"/>
    <n v="9.5299999999999994"/>
    <x v="0"/>
    <x v="0"/>
    <x v="0"/>
    <n v="0"/>
    <x v="1"/>
    <x v="0"/>
    <x v="0"/>
    <d v="1975-10-26T00:00:00"/>
    <x v="655"/>
    <x v="1"/>
    <s v="tier - 1"/>
    <x v="8"/>
    <n v="47"/>
  </r>
  <r>
    <x v="659"/>
    <x v="620"/>
    <n v="17.954999999999998"/>
    <n v="5.29"/>
    <x v="1"/>
    <x v="0"/>
    <x v="0"/>
    <n v="1"/>
    <x v="0"/>
    <x v="3"/>
    <x v="2"/>
    <d v="1968-06-12T00:00:00"/>
    <x v="656"/>
    <x v="1"/>
    <s v="tier - 2"/>
    <x v="13"/>
    <n v="54"/>
  </r>
  <r>
    <x v="660"/>
    <x v="621"/>
    <n v="25.6"/>
    <n v="10.95"/>
    <x v="0"/>
    <x v="0"/>
    <x v="0"/>
    <n v="3"/>
    <x v="1"/>
    <x v="1"/>
    <x v="0"/>
    <d v="1971-08-15T00:00:00"/>
    <x v="657"/>
    <x v="1"/>
    <s v="tier - 3"/>
    <x v="8"/>
    <n v="51"/>
  </r>
  <r>
    <x v="661"/>
    <x v="622"/>
    <n v="34.21"/>
    <n v="9.17"/>
    <x v="0"/>
    <x v="0"/>
    <x v="0"/>
    <n v="0"/>
    <x v="1"/>
    <x v="0"/>
    <x v="0"/>
    <d v="1970-09-11T00:00:00"/>
    <x v="658"/>
    <x v="1"/>
    <s v="tier - 3"/>
    <x v="3"/>
    <n v="52"/>
  </r>
  <r>
    <x v="662"/>
    <x v="623"/>
    <n v="39.74"/>
    <n v="7.39"/>
    <x v="0"/>
    <x v="0"/>
    <x v="0"/>
    <n v="0"/>
    <x v="1"/>
    <x v="0"/>
    <x v="0"/>
    <d v="1979-11-25T00:00:00"/>
    <x v="659"/>
    <x v="1"/>
    <s v="tier - 1"/>
    <x v="3"/>
    <n v="43"/>
  </r>
  <r>
    <x v="663"/>
    <x v="624"/>
    <n v="49.53"/>
    <n v="9.1300000000000008"/>
    <x v="1"/>
    <x v="0"/>
    <x v="0"/>
    <n v="0"/>
    <x v="1"/>
    <x v="0"/>
    <x v="0"/>
    <d v="1960-08-08T00:00:00"/>
    <x v="660"/>
    <x v="1"/>
    <s v="tier - 2"/>
    <x v="1"/>
    <n v="62"/>
  </r>
  <r>
    <x v="664"/>
    <x v="625"/>
    <n v="39.33"/>
    <n v="10.4"/>
    <x v="0"/>
    <x v="0"/>
    <x v="0"/>
    <n v="3"/>
    <x v="1"/>
    <x v="0"/>
    <x v="0"/>
    <d v="1995-08-02T00:00:00"/>
    <x v="661"/>
    <x v="1"/>
    <s v="tier - 2"/>
    <x v="2"/>
    <n v="27"/>
  </r>
  <r>
    <x v="665"/>
    <x v="626"/>
    <n v="39.979999999999997"/>
    <n v="9.4600000000000009"/>
    <x v="1"/>
    <x v="0"/>
    <x v="0"/>
    <n v="2"/>
    <x v="1"/>
    <x v="0"/>
    <x v="0"/>
    <d v="1958-07-29T00:00:00"/>
    <x v="662"/>
    <x v="1"/>
    <s v="tier - 3"/>
    <x v="3"/>
    <n v="64"/>
  </r>
  <r>
    <x v="666"/>
    <x v="627"/>
    <n v="46.51"/>
    <n v="8.69"/>
    <x v="1"/>
    <x v="0"/>
    <x v="0"/>
    <n v="0"/>
    <x v="1"/>
    <x v="0"/>
    <x v="0"/>
    <d v="1962-11-29T00:00:00"/>
    <x v="663"/>
    <x v="1"/>
    <s v="tier - 1"/>
    <x v="14"/>
    <n v="60"/>
  </r>
  <r>
    <x v="667"/>
    <x v="628"/>
    <n v="43.58"/>
    <n v="4.2300000000000004"/>
    <x v="0"/>
    <x v="0"/>
    <x v="1"/>
    <n v="1"/>
    <x v="1"/>
    <x v="0"/>
    <x v="2"/>
    <d v="1968-11-08T00:00:00"/>
    <x v="664"/>
    <x v="1"/>
    <s v="tier - 2"/>
    <x v="1"/>
    <n v="54"/>
  </r>
  <r>
    <x v="668"/>
    <x v="629"/>
    <n v="42.28"/>
    <n v="9.16"/>
    <x v="1"/>
    <x v="0"/>
    <x v="0"/>
    <n v="1"/>
    <x v="1"/>
    <x v="0"/>
    <x v="0"/>
    <d v="1981-07-04T00:00:00"/>
    <x v="665"/>
    <x v="1"/>
    <s v="tier - 1"/>
    <x v="3"/>
    <n v="41"/>
  </r>
  <r>
    <x v="669"/>
    <x v="351"/>
    <n v="35.520000000000003"/>
    <n v="8.26"/>
    <x v="0"/>
    <x v="0"/>
    <x v="0"/>
    <n v="0"/>
    <x v="1"/>
    <x v="0"/>
    <x v="0"/>
    <d v="1958-10-17T00:00:00"/>
    <x v="666"/>
    <x v="1"/>
    <s v="tier - 2"/>
    <x v="2"/>
    <n v="64"/>
  </r>
  <r>
    <x v="670"/>
    <x v="630"/>
    <n v="33.6"/>
    <n v="11.25"/>
    <x v="0"/>
    <x v="0"/>
    <x v="0"/>
    <n v="0"/>
    <x v="1"/>
    <x v="0"/>
    <x v="0"/>
    <d v="1970-11-11T00:00:00"/>
    <x v="667"/>
    <x v="1"/>
    <s v="tier - 2"/>
    <x v="8"/>
    <n v="52"/>
  </r>
  <r>
    <x v="671"/>
    <x v="631"/>
    <n v="22.42"/>
    <n v="6.74"/>
    <x v="0"/>
    <x v="0"/>
    <x v="0"/>
    <n v="0"/>
    <x v="0"/>
    <x v="2"/>
    <x v="0"/>
    <d v="1981-06-05T00:00:00"/>
    <x v="668"/>
    <x v="1"/>
    <s v="tier - 3"/>
    <x v="12"/>
    <n v="42"/>
  </r>
  <r>
    <x v="672"/>
    <x v="632"/>
    <n v="46.86"/>
    <n v="4.87"/>
    <x v="0"/>
    <x v="0"/>
    <x v="0"/>
    <n v="0"/>
    <x v="1"/>
    <x v="0"/>
    <x v="2"/>
    <d v="1979-10-18T00:00:00"/>
    <x v="669"/>
    <x v="1"/>
    <s v="tier - 3"/>
    <x v="12"/>
    <n v="43"/>
  </r>
  <r>
    <x v="673"/>
    <x v="633"/>
    <n v="32.965000000000003"/>
    <n v="6.68"/>
    <x v="0"/>
    <x v="0"/>
    <x v="0"/>
    <n v="3"/>
    <x v="1"/>
    <x v="0"/>
    <x v="0"/>
    <d v="1975-12-10T00:00:00"/>
    <x v="670"/>
    <x v="1"/>
    <s v="tier - 3"/>
    <x v="8"/>
    <n v="47"/>
  </r>
  <r>
    <x v="674"/>
    <x v="634"/>
    <n v="39.340000000000003"/>
    <n v="5.0199999999999996"/>
    <x v="1"/>
    <x v="0"/>
    <x v="1"/>
    <n v="1"/>
    <x v="1"/>
    <x v="0"/>
    <x v="2"/>
    <d v="1965-07-27T00:00:00"/>
    <x v="671"/>
    <x v="1"/>
    <s v="tier - 2"/>
    <x v="12"/>
    <n v="57"/>
  </r>
  <r>
    <x v="675"/>
    <x v="635"/>
    <n v="47"/>
    <n v="10.64"/>
    <x v="1"/>
    <x v="0"/>
    <x v="0"/>
    <n v="0"/>
    <x v="1"/>
    <x v="0"/>
    <x v="0"/>
    <d v="1962-07-29T00:00:00"/>
    <x v="672"/>
    <x v="1"/>
    <s v="tier - 3"/>
    <x v="14"/>
    <n v="60"/>
  </r>
  <r>
    <x v="676"/>
    <x v="636"/>
    <n v="36.71"/>
    <n v="8.74"/>
    <x v="1"/>
    <x v="0"/>
    <x v="0"/>
    <n v="0"/>
    <x v="1"/>
    <x v="0"/>
    <x v="0"/>
    <d v="2002-09-24T00:00:00"/>
    <x v="673"/>
    <x v="1"/>
    <s v="tier - 2"/>
    <x v="1"/>
    <n v="20"/>
  </r>
  <r>
    <x v="677"/>
    <x v="637"/>
    <n v="53.48"/>
    <n v="5.64"/>
    <x v="0"/>
    <x v="0"/>
    <x v="0"/>
    <n v="0"/>
    <x v="1"/>
    <x v="0"/>
    <x v="2"/>
    <d v="1982-09-04T00:00:00"/>
    <x v="674"/>
    <x v="1"/>
    <s v="tier - 2"/>
    <x v="3"/>
    <n v="40"/>
  </r>
  <r>
    <x v="678"/>
    <x v="638"/>
    <n v="35.5"/>
    <n v="10.37"/>
    <x v="0"/>
    <x v="0"/>
    <x v="0"/>
    <n v="0"/>
    <x v="1"/>
    <x v="0"/>
    <x v="0"/>
    <d v="1958-07-23T00:00:00"/>
    <x v="675"/>
    <x v="1"/>
    <s v="tier - 1"/>
    <x v="1"/>
    <n v="64"/>
  </r>
  <r>
    <x v="679"/>
    <x v="639"/>
    <n v="36.979999999999997"/>
    <n v="9.56"/>
    <x v="1"/>
    <x v="0"/>
    <x v="0"/>
    <n v="0"/>
    <x v="1"/>
    <x v="0"/>
    <x v="0"/>
    <d v="1969-10-20T00:00:00"/>
    <x v="676"/>
    <x v="1"/>
    <s v="tier - 1"/>
    <x v="1"/>
    <n v="53"/>
  </r>
  <r>
    <x v="680"/>
    <x v="640"/>
    <n v="32.395000000000003"/>
    <n v="8.23"/>
    <x v="1"/>
    <x v="0"/>
    <x v="1"/>
    <n v="1"/>
    <x v="1"/>
    <x v="0"/>
    <x v="0"/>
    <d v="1981-11-13T00:00:00"/>
    <x v="677"/>
    <x v="1"/>
    <s v="tier - 1"/>
    <x v="1"/>
    <n v="41"/>
  </r>
  <r>
    <x v="681"/>
    <x v="641"/>
    <n v="32.729999999999997"/>
    <n v="7.03"/>
    <x v="0"/>
    <x v="0"/>
    <x v="0"/>
    <n v="0"/>
    <x v="1"/>
    <x v="0"/>
    <x v="0"/>
    <d v="1967-09-01T00:00:00"/>
    <x v="678"/>
    <x v="1"/>
    <s v="tier - 3"/>
    <x v="12"/>
    <n v="55"/>
  </r>
  <r>
    <x v="682"/>
    <x v="642"/>
    <n v="20.52"/>
    <n v="5.45"/>
    <x v="0"/>
    <x v="0"/>
    <x v="0"/>
    <n v="1"/>
    <x v="0"/>
    <x v="2"/>
    <x v="2"/>
    <d v="1991-08-21T00:00:00"/>
    <x v="679"/>
    <x v="1"/>
    <s v="tier - 3"/>
    <x v="3"/>
    <n v="31"/>
  </r>
  <r>
    <x v="683"/>
    <x v="643"/>
    <n v="51.72"/>
    <n v="5.76"/>
    <x v="0"/>
    <x v="0"/>
    <x v="0"/>
    <n v="0"/>
    <x v="1"/>
    <x v="0"/>
    <x v="1"/>
    <d v="1965-11-08T00:00:00"/>
    <x v="680"/>
    <x v="1"/>
    <s v="tier - 3"/>
    <x v="14"/>
    <n v="57"/>
  </r>
  <r>
    <x v="684"/>
    <x v="644"/>
    <n v="50.2"/>
    <n v="5.4"/>
    <x v="0"/>
    <x v="0"/>
    <x v="0"/>
    <n v="0"/>
    <x v="1"/>
    <x v="0"/>
    <x v="2"/>
    <d v="1967-07-18T00:00:00"/>
    <x v="681"/>
    <x v="1"/>
    <s v="tier - 3"/>
    <x v="13"/>
    <n v="55"/>
  </r>
  <r>
    <x v="685"/>
    <x v="645"/>
    <n v="25.52"/>
    <n v="6.35"/>
    <x v="0"/>
    <x v="0"/>
    <x v="1"/>
    <n v="1"/>
    <x v="1"/>
    <x v="1"/>
    <x v="1"/>
    <d v="1963-10-14T00:00:00"/>
    <x v="682"/>
    <x v="1"/>
    <s v="tier - 1"/>
    <x v="2"/>
    <n v="59"/>
  </r>
  <r>
    <x v="686"/>
    <x v="646"/>
    <n v="35.200000000000003"/>
    <n v="6.26"/>
    <x v="1"/>
    <x v="0"/>
    <x v="0"/>
    <n v="2"/>
    <x v="1"/>
    <x v="0"/>
    <x v="1"/>
    <d v="1962-12-03T00:00:00"/>
    <x v="683"/>
    <x v="1"/>
    <s v="tier - 1"/>
    <x v="15"/>
    <n v="60"/>
  </r>
  <r>
    <x v="687"/>
    <x v="647"/>
    <n v="41.26"/>
    <n v="5.97"/>
    <x v="1"/>
    <x v="0"/>
    <x v="0"/>
    <n v="0"/>
    <x v="1"/>
    <x v="0"/>
    <x v="1"/>
    <d v="1998-09-12T00:00:00"/>
    <x v="684"/>
    <x v="1"/>
    <s v="tier - 1"/>
    <x v="2"/>
    <n v="24"/>
  </r>
  <r>
    <x v="688"/>
    <x v="648"/>
    <n v="17.195"/>
    <n v="5.29"/>
    <x v="1"/>
    <x v="0"/>
    <x v="0"/>
    <n v="0"/>
    <x v="0"/>
    <x v="3"/>
    <x v="2"/>
    <d v="1989-07-14T00:00:00"/>
    <x v="685"/>
    <x v="1"/>
    <s v="tier - 3"/>
    <x v="3"/>
    <n v="33"/>
  </r>
  <r>
    <x v="689"/>
    <x v="649"/>
    <n v="23.085000000000001"/>
    <n v="4.2699999999999996"/>
    <x v="1"/>
    <x v="0"/>
    <x v="0"/>
    <n v="2"/>
    <x v="1"/>
    <x v="2"/>
    <x v="2"/>
    <d v="1989-07-22T00:00:00"/>
    <x v="686"/>
    <x v="1"/>
    <s v="tier - 3"/>
    <x v="1"/>
    <n v="33"/>
  </r>
  <r>
    <x v="690"/>
    <x v="650"/>
    <n v="21.66"/>
    <n v="5.2"/>
    <x v="1"/>
    <x v="0"/>
    <x v="0"/>
    <n v="2"/>
    <x v="1"/>
    <x v="2"/>
    <x v="2"/>
    <d v="1979-10-20T00:00:00"/>
    <x v="687"/>
    <x v="1"/>
    <s v="tier - 2"/>
    <x v="0"/>
    <n v="43"/>
  </r>
  <r>
    <x v="691"/>
    <x v="651"/>
    <n v="36.47"/>
    <n v="8.23"/>
    <x v="1"/>
    <x v="0"/>
    <x v="0"/>
    <n v="0"/>
    <x v="1"/>
    <x v="0"/>
    <x v="0"/>
    <d v="1959-11-20T00:00:00"/>
    <x v="688"/>
    <x v="1"/>
    <s v="tier - 2"/>
    <x v="0"/>
    <n v="63"/>
  </r>
  <r>
    <x v="692"/>
    <x v="652"/>
    <n v="36.08"/>
    <n v="10.33"/>
    <x v="1"/>
    <x v="0"/>
    <x v="0"/>
    <n v="0"/>
    <x v="1"/>
    <x v="0"/>
    <x v="0"/>
    <d v="1976-11-27T00:00:00"/>
    <x v="689"/>
    <x v="1"/>
    <s v="tier - 3"/>
    <x v="1"/>
    <n v="46"/>
  </r>
  <r>
    <x v="693"/>
    <x v="653"/>
    <n v="23.18"/>
    <n v="6.13"/>
    <x v="0"/>
    <x v="0"/>
    <x v="0"/>
    <n v="0"/>
    <x v="1"/>
    <x v="2"/>
    <x v="1"/>
    <d v="1996-11-10T00:00:00"/>
    <x v="690"/>
    <x v="1"/>
    <s v="tier - 3"/>
    <x v="2"/>
    <n v="26"/>
  </r>
  <r>
    <x v="694"/>
    <x v="654"/>
    <n v="39.159999999999997"/>
    <n v="8.08"/>
    <x v="0"/>
    <x v="0"/>
    <x v="0"/>
    <n v="3"/>
    <x v="1"/>
    <x v="0"/>
    <x v="0"/>
    <d v="1959-08-03T00:00:00"/>
    <x v="691"/>
    <x v="1"/>
    <s v="tier - 3"/>
    <x v="8"/>
    <n v="63"/>
  </r>
  <r>
    <x v="695"/>
    <x v="655"/>
    <n v="38.19"/>
    <n v="10.49"/>
    <x v="0"/>
    <x v="0"/>
    <x v="0"/>
    <n v="3"/>
    <x v="1"/>
    <x v="0"/>
    <x v="0"/>
    <d v="1959-06-29T00:00:00"/>
    <x v="692"/>
    <x v="1"/>
    <s v="tier - 1"/>
    <x v="2"/>
    <n v="63"/>
  </r>
  <r>
    <x v="696"/>
    <x v="656"/>
    <n v="26.41"/>
    <n v="8.11"/>
    <x v="0"/>
    <x v="0"/>
    <x v="0"/>
    <n v="3"/>
    <x v="1"/>
    <x v="1"/>
    <x v="0"/>
    <d v="1967-11-04T00:00:00"/>
    <x v="693"/>
    <x v="1"/>
    <s v="tier - 2"/>
    <x v="14"/>
    <n v="55"/>
  </r>
  <r>
    <x v="697"/>
    <x v="657"/>
    <n v="28.785"/>
    <n v="6.6"/>
    <x v="0"/>
    <x v="0"/>
    <x v="0"/>
    <n v="0"/>
    <x v="1"/>
    <x v="1"/>
    <x v="0"/>
    <d v="1967-08-15T00:00:00"/>
    <x v="694"/>
    <x v="1"/>
    <s v="tier - 2"/>
    <x v="12"/>
    <n v="55"/>
  </r>
  <r>
    <x v="698"/>
    <x v="658"/>
    <n v="26.695"/>
    <n v="10.14"/>
    <x v="1"/>
    <x v="0"/>
    <x v="1"/>
    <n v="1"/>
    <x v="1"/>
    <x v="1"/>
    <x v="0"/>
    <d v="1999-08-10T00:00:00"/>
    <x v="695"/>
    <x v="1"/>
    <s v="tier - 1"/>
    <x v="1"/>
    <n v="23"/>
  </r>
  <r>
    <x v="699"/>
    <x v="659"/>
    <n v="32.799999999999997"/>
    <n v="6.06"/>
    <x v="1"/>
    <x v="0"/>
    <x v="0"/>
    <n v="1"/>
    <x v="1"/>
    <x v="0"/>
    <x v="1"/>
    <d v="1958-09-20T00:00:00"/>
    <x v="696"/>
    <x v="1"/>
    <s v="tier - 3"/>
    <x v="0"/>
    <n v="64"/>
  </r>
  <r>
    <x v="700"/>
    <x v="660"/>
    <n v="35.869999999999997"/>
    <n v="9.91"/>
    <x v="1"/>
    <x v="0"/>
    <x v="0"/>
    <n v="0"/>
    <x v="1"/>
    <x v="0"/>
    <x v="0"/>
    <d v="1958-07-29T00:00:00"/>
    <x v="697"/>
    <x v="1"/>
    <s v="tier - 2"/>
    <x v="4"/>
    <n v="64"/>
  </r>
  <r>
    <x v="701"/>
    <x v="661"/>
    <n v="21.66"/>
    <n v="4.1399999999999997"/>
    <x v="1"/>
    <x v="0"/>
    <x v="0"/>
    <n v="2"/>
    <x v="1"/>
    <x v="2"/>
    <x v="2"/>
    <d v="1958-09-14T00:00:00"/>
    <x v="698"/>
    <x v="1"/>
    <s v="tier - 1"/>
    <x v="11"/>
    <n v="64"/>
  </r>
  <r>
    <x v="702"/>
    <x v="662"/>
    <n v="37.72"/>
    <n v="4.38"/>
    <x v="1"/>
    <x v="0"/>
    <x v="1"/>
    <n v="1"/>
    <x v="1"/>
    <x v="0"/>
    <x v="2"/>
    <d v="1965-06-22T00:00:00"/>
    <x v="699"/>
    <x v="1"/>
    <s v="tier - 3"/>
    <x v="2"/>
    <n v="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F9EEFA-9A1F-463B-B180-405F5331AB53}" name="PivotTable22"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mokers" colHeaderCaption="cancer">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pivotField showAll="0"/>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724940-B817-481E-861E-F659FEFC3168}" name="PivotTable23"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JERIES" fld="7" baseField="0" baseItem="0"/>
    <dataField name="Average of HBA1C" fld="3" subtotal="average" baseField="0" baseItem="0"/>
  </dataFields>
  <formats count="3">
    <format dxfId="3">
      <pivotArea collapsedLevelsAreSubtotals="1" fieldPosition="0">
        <references count="2">
          <reference field="4294967294" count="1" selected="0">
            <x v="1"/>
          </reference>
          <reference field="5" count="1">
            <x v="0"/>
          </reference>
        </references>
      </pivotArea>
    </format>
    <format dxfId="2">
      <pivotArea collapsedLevelsAreSubtotals="1" fieldPosition="0">
        <references count="2">
          <reference field="4294967294" count="1" selected="0">
            <x v="1"/>
          </reference>
          <reference field="5" count="1">
            <x v="1"/>
          </reference>
        </references>
      </pivotArea>
    </format>
    <format dxfId="1">
      <pivotArea field="5" grandRow="1" outline="0" collapsedLevelsAreSubtotals="1" axis="axisRow"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0772AE-F277-49AC-A72C-F86B785247E5}" name="PivotTable24"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2"/>
  </dataFields>
  <formats count="1">
    <format dxfId="0">
      <pivotArea outline="0" collapsedLevelsAreSubtotals="1" fieldPosition="0"/>
    </format>
  </format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037316-0504-4853-B45F-42BB05D46539}" name="PivotTable25"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21"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numFmtId="14" showAll="0"/>
    <pivotField dataField="1" showAll="0"/>
    <pivotField axis="axisCol" showAll="0">
      <items count="4">
        <item x="0"/>
        <item x="1"/>
        <item x="2"/>
        <item t="default"/>
      </items>
    </pivotField>
    <pivotField showAll="0"/>
    <pivotField axis="axisRow" showAll="0">
      <items count="17">
        <item x="3"/>
        <item x="1"/>
        <item x="0"/>
        <item x="7"/>
        <item x="5"/>
        <item x="4"/>
        <item x="6"/>
        <item x="11"/>
        <item x="9"/>
        <item x="14"/>
        <item x="13"/>
        <item x="8"/>
        <item x="2"/>
        <item x="15"/>
        <item x="12"/>
        <item x="10"/>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0" baseItem="0" numFmtId="17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404A65-8721-46B2-9EC4-06DC14B45428}" name="PivotTable34"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numFmtId="14"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Average of CHARGES" fld="1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C631C7-9E83-492B-B4E4-453E1AC0CE21}" name="PivotTable35"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rowPageCount="1" colPageCount="1"/>
  <pivotFields count="17">
    <pivotField dataField="1" showAll="0"/>
    <pivotField showAll="0"/>
    <pivotField showAll="0"/>
    <pivotField showAll="0"/>
    <pivotField showAll="0"/>
    <pivotField showAll="0"/>
    <pivotField showAll="0"/>
    <pivotField showAll="0"/>
    <pivotField showAll="0"/>
    <pivotField showAll="0"/>
    <pivotField axis="axisPage" showAll="0">
      <items count="4">
        <item x="0"/>
        <item x="2"/>
        <item x="1"/>
        <item t="default"/>
      </items>
    </pivotField>
    <pivotField numFmtId="14" showAll="0"/>
    <pivotField showAll="0">
      <items count="701">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Items count="1">
    <i/>
  </rowItems>
  <colItems count="1">
    <i/>
  </colItems>
  <pageFields count="1">
    <pageField fld="10" item="0" hier="-1"/>
  </pageFields>
  <dataFields count="1">
    <dataField name="Count of Customer ID" fld="0" subtotal="count" baseField="0" baseItem="0"/>
  </dataFields>
  <chartFormats count="2">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42F787-62AE-4D1F-B2B0-DF2EFF7E8A62}" name="PivotTable37"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7">
    <pivotField dataField="1" showAll="0"/>
    <pivotField showAll="0"/>
    <pivotField showAll="0"/>
    <pivotField showAll="0"/>
    <pivotField axis="axisCol" showAll="0">
      <items count="3">
        <item x="0"/>
        <item x="1"/>
        <item t="default"/>
      </items>
    </pivotField>
    <pivotField showAll="0"/>
    <pivotField axis="axisRow" showAll="0">
      <items count="3">
        <item x="0"/>
        <item x="1"/>
        <item t="default"/>
      </items>
    </pivotField>
    <pivotField showAll="0"/>
    <pivotField showAll="0"/>
    <pivotField showAll="0"/>
    <pivotField showAll="0"/>
    <pivotField numFmtId="14" showAll="0"/>
    <pivotField showAll="0"/>
    <pivotField showAll="0"/>
    <pivotField showAll="0"/>
    <pivotField showAll="0"/>
    <pivotField showAll="0"/>
  </pivotFields>
  <rowFields count="1">
    <field x="6"/>
  </rowFields>
  <rowItems count="3">
    <i>
      <x/>
    </i>
    <i>
      <x v="1"/>
    </i>
    <i t="grand">
      <x/>
    </i>
  </rowItems>
  <colFields count="1">
    <field x="4"/>
  </colFields>
  <colItems count="3">
    <i>
      <x/>
    </i>
    <i>
      <x v="1"/>
    </i>
    <i t="grand">
      <x/>
    </i>
  </colItems>
  <dataFields count="1">
    <dataField name="Count of Customer ID" fld="0" subtotal="count"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06D5F7-9848-4AF6-800E-94B3A2535B28}" name="PivotTable36"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5" firstHeaderRow="1" firstDataRow="2" firstDataCol="1" rowPageCount="1" colPageCount="1"/>
  <pivotFields count="17">
    <pivotField dataField="1" showAll="0"/>
    <pivotField showAll="0"/>
    <pivotField showAll="0"/>
    <pivotField showAll="0"/>
    <pivotField axis="axisCol" showAll="0">
      <items count="3">
        <item x="0"/>
        <item x="1"/>
        <item t="default"/>
      </items>
    </pivotField>
    <pivotField showAll="0"/>
    <pivotField showAll="0"/>
    <pivotField showAll="0"/>
    <pivotField showAll="0"/>
    <pivotField axis="axisPage" showAll="0">
      <items count="5">
        <item x="2"/>
        <item x="0"/>
        <item x="1"/>
        <item x="3"/>
        <item t="default"/>
      </items>
    </pivotField>
    <pivotField showAll="0"/>
    <pivotField numFmtId="14" showAll="0"/>
    <pivotField showAll="0"/>
    <pivotField showAll="0"/>
    <pivotField showAll="0"/>
    <pivotField showAll="0"/>
    <pivotField showAll="0"/>
  </pivotFields>
  <rowItems count="1">
    <i/>
  </rowItems>
  <colFields count="1">
    <field x="4"/>
  </colFields>
  <colItems count="3">
    <i>
      <x/>
    </i>
    <i>
      <x v="1"/>
    </i>
    <i t="grand">
      <x/>
    </i>
  </colItems>
  <pageFields count="1">
    <pageField fld="9" item="3" hier="-1"/>
  </pageFields>
  <dataFields count="1">
    <dataField name="Count of Customer ID" fld="0" subtotal="count"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7" format="4" series="1">
      <pivotArea type="data" outline="0" fieldPosition="0">
        <references count="2">
          <reference field="4294967294" count="1" selected="0">
            <x v="0"/>
          </reference>
          <reference field="4" count="1" selected="0">
            <x v="0"/>
          </reference>
        </references>
      </pivotArea>
    </chartFormat>
    <chartFormat chart="7"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F44EBC-5675-4245-BF81-C5829A485B6E}" name="PivotTable38"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7">
    <pivotField dataField="1" showAll="0"/>
    <pivotField showAll="0"/>
    <pivotField showAll="0"/>
    <pivotField showAll="0"/>
    <pivotField axis="axisCol" showAll="0">
      <items count="3">
        <item x="0"/>
        <item x="1"/>
        <item t="default"/>
      </items>
    </pivotField>
    <pivotField axis="axisRow" showAll="0">
      <items count="3">
        <item x="0"/>
        <item x="1"/>
        <item t="default"/>
      </items>
    </pivotField>
    <pivotField showAll="0"/>
    <pivotField showAll="0"/>
    <pivotField showAll="0"/>
    <pivotField showAll="0"/>
    <pivotField showAll="0"/>
    <pivotField numFmtId="14" showAll="0"/>
    <pivotField showAll="0"/>
    <pivotField showAll="0"/>
    <pivotField showAll="0"/>
    <pivotField showAll="0"/>
    <pivotField showAll="0"/>
  </pivotFields>
  <rowFields count="1">
    <field x="5"/>
  </rowFields>
  <rowItems count="3">
    <i>
      <x/>
    </i>
    <i>
      <x v="1"/>
    </i>
    <i t="grand">
      <x/>
    </i>
  </rowItems>
  <colFields count="1">
    <field x="4"/>
  </colFields>
  <colItems count="3">
    <i>
      <x/>
    </i>
    <i>
      <x v="1"/>
    </i>
    <i t="grand">
      <x/>
    </i>
  </colItems>
  <dataFields count="1">
    <dataField name="Count of Customer ID" fld="0"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FB9111-0E2E-4177-9EBB-8CB2AC3234C7}" name="PivotTable39"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9" firstHeaderRow="1" firstDataRow="2" firstDataCol="1" rowPageCount="1" colPageCount="1"/>
  <pivotFields count="17">
    <pivotField dataField="1" showAll="0"/>
    <pivotField showAll="0"/>
    <pivotField showAll="0"/>
    <pivotField showAll="0"/>
    <pivotField axis="axisPage" showAll="0">
      <items count="3">
        <item x="0"/>
        <item x="1"/>
        <item t="default"/>
      </items>
    </pivotField>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pageFields count="1">
    <pageField fld="4" item="1" hier="-1"/>
  </pageFields>
  <dataFields count="1">
    <dataField name="Count of Customer ID" fld="0"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AD6FEC-B8E2-435A-BCD9-06623F7337B4}" name="PivotTable33"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H17" firstHeaderRow="1" firstDataRow="3" firstDataCol="1"/>
  <pivotFields count="5">
    <pivotField showAll="0"/>
    <pivotField axis="axisRow" showAll="0">
      <items count="4">
        <item x="1"/>
        <item x="2"/>
        <item x="0"/>
        <item t="default"/>
      </items>
    </pivotField>
    <pivotField axis="axisCol" showAll="0">
      <items count="4">
        <item x="2"/>
        <item x="0"/>
        <item x="1"/>
        <item t="default"/>
      </items>
    </pivotField>
    <pivotField axis="axisCol" showAll="0">
      <items count="4">
        <item x="1"/>
        <item x="0"/>
        <item x="2"/>
        <item t="default"/>
      </items>
    </pivotField>
    <pivotField dataField="1" showAll="0"/>
  </pivotFields>
  <rowFields count="1">
    <field x="1"/>
  </rowFields>
  <rowItems count="4">
    <i>
      <x/>
    </i>
    <i>
      <x v="1"/>
    </i>
    <i>
      <x v="2"/>
    </i>
    <i t="grand">
      <x/>
    </i>
  </rowItems>
  <colFields count="2">
    <field x="2"/>
    <field x="3"/>
  </colFields>
  <colItems count="7">
    <i>
      <x/>
      <x v="2"/>
    </i>
    <i t="default">
      <x/>
    </i>
    <i>
      <x v="1"/>
      <x v="1"/>
    </i>
    <i t="default">
      <x v="1"/>
    </i>
    <i>
      <x v="2"/>
      <x/>
    </i>
    <i t="default">
      <x v="2"/>
    </i>
    <i t="grand">
      <x/>
    </i>
  </colItems>
  <dataFields count="1">
    <dataField name="Sum of CHARGES" fld="4" baseField="0" baseItem="0"/>
  </dataFields>
  <chartFormats count="6">
    <chartFormat chart="0" format="11" series="1">
      <pivotArea type="data" outline="0" fieldPosition="0">
        <references count="1">
          <reference field="4294967294" count="1" selected="0">
            <x v="0"/>
          </reference>
        </references>
      </pivotArea>
    </chartFormat>
    <chartFormat chart="0" format="12" series="1">
      <pivotArea type="data" outline="0" fieldPosition="0">
        <references count="2">
          <reference field="4294967294" count="1" selected="0">
            <x v="0"/>
          </reference>
          <reference field="1" count="1" selected="0">
            <x v="1"/>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3">
          <reference field="4294967294" count="1" selected="0">
            <x v="0"/>
          </reference>
          <reference field="2" count="1" selected="0">
            <x v="0"/>
          </reference>
          <reference field="3" count="1" selected="0">
            <x v="2"/>
          </reference>
        </references>
      </pivotArea>
    </chartFormat>
    <chartFormat chart="0" format="15" series="1">
      <pivotArea type="data" outline="0" fieldPosition="0">
        <references count="3">
          <reference field="4294967294" count="1" selected="0">
            <x v="0"/>
          </reference>
          <reference field="2" count="1" selected="0">
            <x v="1"/>
          </reference>
          <reference field="3" count="1" selected="0">
            <x v="1"/>
          </reference>
        </references>
      </pivotArea>
    </chartFormat>
    <chartFormat chart="0" format="16" series="1">
      <pivotArea type="data" outline="0" fieldPosition="0">
        <references count="3">
          <reference field="4294967294" count="1" selected="0">
            <x v="0"/>
          </reference>
          <reference field="2" count="1" selected="0">
            <x v="2"/>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E90247-DC5F-41EB-BFDE-62789B095E44}" autoFormatId="16" applyNumberFormats="0" applyBorderFormats="0" applyFontFormats="0" applyPatternFormats="0" applyAlignmentFormats="0" applyWidthHeightFormats="0">
  <queryTableRefresh nextId="18">
    <queryTableFields count="17">
      <queryTableField id="1" name="Customer ID" tableColumnId="1"/>
      <queryTableField id="2" name="FIRST NAME" tableColumnId="2"/>
      <queryTableField id="3" name="BMI" tableColumnId="3"/>
      <queryTableField id="4" name="HBA1C" tableColumnId="4"/>
      <queryTableField id="5" name="HEART ISSUES" tableColumnId="5"/>
      <queryTableField id="6" name="ANY TRANSPLANT" tableColumnId="6"/>
      <queryTableField id="7" name="CANCER HISTORY" tableColumnId="7"/>
      <queryTableField id="8" name="NUMBEROFMAJORSURJERIES" tableColumnId="8"/>
      <queryTableField id="9" name="SMOKER" tableColumnId="9"/>
      <queryTableField id="10" name="WEIGHT STATUS" tableColumnId="10"/>
      <queryTableField id="11" name="DIABETES STATUS" tableColumnId="11"/>
      <queryTableField id="12" name="DATE OF BIRTH" tableColumnId="12"/>
      <queryTableField id="13" name="CHARGES" tableColumnId="13"/>
      <queryTableField id="14" name="HOSPITAL TIER" tableColumnId="14"/>
      <queryTableField id="15" name="CITY TIER" tableColumnId="15"/>
      <queryTableField id="16" name="STATE ID" tableColumnId="16"/>
      <queryTableField id="17" name="AG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5D0A983-4023-413B-8E91-DFD5822C7293}" sourceName="WEIGHT STATUS">
  <pivotTables>
    <pivotTable tabId="15" name="PivotTable36"/>
  </pivotTables>
  <data>
    <tabular pivotCacheId="1173862506">
      <items count="4">
        <i x="2"/>
        <i x="0"/>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3339F58-CC8C-4C8A-A9DD-6AE379B7DCBB}" sourceName="DIABETES STATUS">
  <pivotTables>
    <pivotTable tabId="14" name="PivotTable35"/>
  </pivotTables>
  <data>
    <tabular pivotCacheId="1173862506">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C0183EEB-A6A0-4E97-A71A-35683690809D}" sourceName="HEART ISSUES">
  <pivotTables>
    <pivotTable tabId="18" name="PivotTable39"/>
  </pivotTables>
  <data>
    <tabular pivotCacheId="1173862506">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F566418F-1120-4C57-8509-A74B0BE57AEA}" cache="Slicer_WEIGHT_STATUS" caption="WEIGHT STATUS" rowHeight="234950"/>
  <slicer name="DIABETES STATUS 2" xr10:uid="{2639967B-E63B-4942-9E6B-B50A86CC8C60}" cache="Slicer_DIABETES_STATUS" caption="DIABETES STATUS" rowHeight="234950"/>
  <slicer name="HEART ISSUES 1" xr10:uid="{B9DAA197-D964-4D81-B233-F6E045AC6E49}" cache="Slicer_HEART_ISSUES" caption="HEART ISSU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77D4BE63-EF8D-4476-8C7D-C2471BB45203}" cache="Slicer_DIABETES_STATUS" caption="DIABETES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D810D4B-2872-4E8F-B138-361F1CD8A751}" cache="Slicer_WEIGHT_STATUS" caption="WEIGHT STATU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RT ISSUES" xr10:uid="{5DFEA6BA-31AC-4F61-BBA1-441F09811466}" cache="Slicer_HEART_ISSUES" caption="HEART ISSUE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DF5712-485B-4B0D-A651-276C834FC889}" name="HEALTHCARE" displayName="HEALTHCARE" ref="A1:Q704" tableType="queryTable" totalsRowShown="0">
  <autoFilter ref="A1:Q704" xr:uid="{54DF5712-485B-4B0D-A651-276C834FC889}"/>
  <tableColumns count="17">
    <tableColumn id="1" xr3:uid="{A26ECA60-24A2-4239-BBDB-656E8BEBCC3B}" uniqueName="1" name="Customer ID" queryTableFieldId="1" dataDxfId="15"/>
    <tableColumn id="2" xr3:uid="{CFF97F4A-283F-4D01-A2C2-ABCFDEE42B75}" uniqueName="2" name="FIRST NAME" queryTableFieldId="2" dataDxfId="14"/>
    <tableColumn id="3" xr3:uid="{F080DC6E-442F-493F-9DE6-1A5C9F093D7D}" uniqueName="3" name="BMI" queryTableFieldId="3"/>
    <tableColumn id="4" xr3:uid="{F4FC868C-8BA0-455D-BD03-505881FD4DB7}" uniqueName="4" name="HBA1C" queryTableFieldId="4"/>
    <tableColumn id="5" xr3:uid="{A72E8AE7-8634-4880-9B7C-374138505C48}" uniqueName="5" name="HEART ISSUES" queryTableFieldId="5" dataDxfId="13"/>
    <tableColumn id="6" xr3:uid="{B7BCBF56-0AE1-4DE6-8EF3-BABBF13E7EA4}" uniqueName="6" name="ANY TRANSPLANT" queryTableFieldId="6" dataDxfId="12"/>
    <tableColumn id="7" xr3:uid="{AACD88E2-D5D4-4AB9-8940-9441138A1807}" uniqueName="7" name="CANCER HISTORY" queryTableFieldId="7" dataDxfId="11"/>
    <tableColumn id="8" xr3:uid="{DA513929-2DC6-48CC-9CD9-22149D7FFFB4}" uniqueName="8" name="NUMBEROFMAJORSURJERIES" queryTableFieldId="8"/>
    <tableColumn id="9" xr3:uid="{84E304D0-8A42-47BE-96BB-04F9283988B4}" uniqueName="9" name="SMOKER" queryTableFieldId="9" dataDxfId="10"/>
    <tableColumn id="10" xr3:uid="{D55F0C8E-FDE9-4606-A096-47ACF3316407}" uniqueName="10" name="WEIGHT STATUS" queryTableFieldId="10" dataDxfId="9"/>
    <tableColumn id="11" xr3:uid="{D5EC60F0-34A4-4897-B761-12711F78AAA2}" uniqueName="11" name="DIABETES STATUS" queryTableFieldId="11" dataDxfId="8"/>
    <tableColumn id="12" xr3:uid="{B3DEF7BB-1CEE-46BF-ABC5-7D491D25380D}" uniqueName="12" name="DATE OF BIRTH" queryTableFieldId="12" dataDxfId="7"/>
    <tableColumn id="13" xr3:uid="{D9F42E3B-541C-4F62-9F59-128897743688}" uniqueName="13" name="CHARGES" queryTableFieldId="13"/>
    <tableColumn id="14" xr3:uid="{30FB729A-F5E7-4133-8F34-E4AEB4409F6D}" uniqueName="14" name="HOSPITAL TIER" queryTableFieldId="14" dataDxfId="6"/>
    <tableColumn id="15" xr3:uid="{C7C9E1D0-FE5A-4594-A14B-34AAA97522BC}" uniqueName="15" name="CITY TIER" queryTableFieldId="15" dataDxfId="5"/>
    <tableColumn id="16" xr3:uid="{CEBCEE3A-02F9-4A84-A7CE-507E32685889}" uniqueName="16" name="STATE ID" queryTableFieldId="16" dataDxfId="4"/>
    <tableColumn id="17" xr3:uid="{CD9297FD-FF1D-41E6-A4EF-6EEC9DBE5A87}" uniqueName="17" name="AGE"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5F6CAC0-0BEC-4275-9EAF-11F7BF9F3923}" name="Table9" displayName="Table9" ref="A1:E4">
  <autoFilter ref="A1:E4" xr:uid="{E5F6CAC0-0BEC-4275-9EAF-11F7BF9F3923}"/>
  <tableColumns count="5">
    <tableColumn id="1" xr3:uid="{711F5660-41F0-453A-8AD8-3BBF08842531}" name="Column1" totalsRowLabel="Total"/>
    <tableColumn id="2" xr3:uid="{FC67AC76-3DC6-4553-BE6E-C0CA24E4F033}" name="AGE"/>
    <tableColumn id="3" xr3:uid="{163823EA-AC5D-4018-AEC3-8EF26D0E30C0}" name="BMI"/>
    <tableColumn id="4" xr3:uid="{580EE51C-CA56-411A-9B45-5E4301E9D33B}" name="HBA1C"/>
    <tableColumn id="5" xr3:uid="{5CB8DAEF-0566-4C20-8CBF-5F8634558786}" name="CHARGES" totalsRowFunction="count"/>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C11A6-7B3F-4582-9437-98F12E2B34A3}">
  <dimension ref="A1:W28"/>
  <sheetViews>
    <sheetView tabSelected="1" zoomScaleNormal="100" workbookViewId="0">
      <selection activeCell="K24" sqref="K24"/>
    </sheetView>
  </sheetViews>
  <sheetFormatPr defaultRowHeight="14.4" x14ac:dyDescent="0.3"/>
  <sheetData>
    <row r="1" spans="1:23" x14ac:dyDescent="0.3">
      <c r="A1" s="11"/>
      <c r="B1" s="11"/>
      <c r="C1" s="11"/>
      <c r="D1" s="11"/>
      <c r="E1" s="11"/>
      <c r="F1" s="11"/>
      <c r="G1" s="11"/>
      <c r="H1" s="11"/>
      <c r="I1" s="11"/>
      <c r="J1" s="11"/>
      <c r="K1" s="11"/>
      <c r="L1" s="11"/>
      <c r="M1" s="11"/>
      <c r="N1" s="11"/>
      <c r="O1" s="11"/>
      <c r="P1" s="11"/>
      <c r="Q1" s="11"/>
      <c r="R1" s="11"/>
      <c r="S1" s="11"/>
      <c r="T1" s="11"/>
      <c r="U1" s="11"/>
      <c r="V1" s="11"/>
      <c r="W1" s="11"/>
    </row>
    <row r="2" spans="1:23" x14ac:dyDescent="0.3">
      <c r="A2" s="11"/>
      <c r="B2" s="11"/>
      <c r="C2" s="11"/>
      <c r="D2" s="11"/>
      <c r="E2" s="11"/>
      <c r="F2" s="11"/>
      <c r="G2" s="11"/>
      <c r="H2" s="11"/>
      <c r="I2" s="11"/>
      <c r="J2" s="11"/>
      <c r="K2" s="11"/>
      <c r="L2" s="11"/>
      <c r="M2" s="11"/>
      <c r="N2" s="11"/>
      <c r="O2" s="11"/>
      <c r="P2" s="11"/>
      <c r="Q2" s="11"/>
      <c r="R2" s="11"/>
      <c r="S2" s="11"/>
      <c r="T2" s="11"/>
      <c r="U2" s="11"/>
      <c r="V2" s="11"/>
      <c r="W2" s="11"/>
    </row>
    <row r="3" spans="1:23" x14ac:dyDescent="0.3">
      <c r="A3" s="11"/>
      <c r="B3" s="11"/>
      <c r="C3" s="11"/>
      <c r="D3" s="11"/>
      <c r="E3" s="11"/>
      <c r="F3" s="11"/>
      <c r="G3" s="11"/>
      <c r="H3" s="11"/>
      <c r="I3" s="11"/>
      <c r="J3" s="11"/>
      <c r="K3" s="11"/>
      <c r="L3" s="11"/>
      <c r="M3" s="11"/>
      <c r="N3" s="11"/>
      <c r="O3" s="11"/>
      <c r="P3" s="11"/>
      <c r="Q3" s="11"/>
      <c r="R3" s="11"/>
      <c r="S3" s="11"/>
      <c r="T3" s="11"/>
      <c r="U3" s="11"/>
      <c r="V3" s="11"/>
      <c r="W3" s="11"/>
    </row>
    <row r="4" spans="1:23" x14ac:dyDescent="0.3">
      <c r="A4" s="11"/>
      <c r="B4" s="11"/>
      <c r="C4" s="11"/>
      <c r="D4" s="11"/>
      <c r="E4" s="11"/>
      <c r="F4" s="11"/>
      <c r="G4" s="11"/>
      <c r="H4" s="11"/>
      <c r="I4" s="11"/>
      <c r="J4" s="11"/>
      <c r="K4" s="11"/>
      <c r="L4" s="11"/>
      <c r="M4" s="11"/>
      <c r="N4" s="11"/>
      <c r="O4" s="11"/>
      <c r="P4" s="11"/>
      <c r="Q4" s="11"/>
      <c r="R4" s="11"/>
      <c r="S4" s="11"/>
      <c r="T4" s="11"/>
      <c r="U4" s="11"/>
      <c r="V4" s="11"/>
      <c r="W4" s="11"/>
    </row>
    <row r="5" spans="1:23" x14ac:dyDescent="0.3">
      <c r="A5" s="10"/>
      <c r="B5" s="10"/>
      <c r="C5" s="10"/>
      <c r="D5" s="10"/>
      <c r="E5" s="10"/>
      <c r="F5" s="10"/>
      <c r="G5" s="10"/>
      <c r="H5" s="10"/>
      <c r="I5" s="10"/>
      <c r="J5" s="10"/>
      <c r="K5" s="10"/>
      <c r="L5" s="10"/>
      <c r="M5" s="10"/>
      <c r="N5" s="10"/>
      <c r="O5" s="10"/>
      <c r="P5" s="10"/>
      <c r="Q5" s="10"/>
      <c r="R5" s="10"/>
      <c r="S5" s="10"/>
      <c r="T5" s="10"/>
      <c r="U5" s="10"/>
      <c r="V5" s="10"/>
      <c r="W5" s="10"/>
    </row>
    <row r="6" spans="1:23" x14ac:dyDescent="0.3">
      <c r="A6" s="10"/>
      <c r="B6" s="10"/>
      <c r="C6" s="10"/>
      <c r="D6" s="10"/>
      <c r="E6" s="10"/>
      <c r="F6" s="10"/>
      <c r="G6" s="10"/>
      <c r="H6" s="10"/>
      <c r="I6" s="10"/>
      <c r="J6" s="10"/>
      <c r="K6" s="10"/>
      <c r="L6" s="10"/>
      <c r="M6" s="10"/>
      <c r="N6" s="10"/>
      <c r="O6" s="10"/>
      <c r="P6" s="10"/>
      <c r="Q6" s="10"/>
      <c r="R6" s="10"/>
      <c r="S6" s="10"/>
      <c r="T6" s="10"/>
      <c r="U6" s="10"/>
      <c r="V6" s="10"/>
      <c r="W6" s="10"/>
    </row>
    <row r="7" spans="1:23" x14ac:dyDescent="0.3">
      <c r="A7" s="10"/>
      <c r="B7" s="10"/>
      <c r="C7" s="10"/>
      <c r="D7" s="10"/>
      <c r="E7" s="10"/>
      <c r="F7" s="10"/>
      <c r="G7" s="10"/>
      <c r="H7" s="10"/>
      <c r="I7" s="10"/>
      <c r="J7" s="10"/>
      <c r="K7" s="10"/>
      <c r="L7" s="10"/>
      <c r="M7" s="10"/>
      <c r="N7" s="10"/>
      <c r="O7" s="10"/>
      <c r="P7" s="10"/>
      <c r="Q7" s="10"/>
      <c r="R7" s="10"/>
      <c r="S7" s="10"/>
      <c r="T7" s="10"/>
      <c r="U7" s="10"/>
      <c r="V7" s="10"/>
      <c r="W7" s="10"/>
    </row>
    <row r="8" spans="1:23" x14ac:dyDescent="0.3">
      <c r="A8" s="10"/>
      <c r="B8" s="10"/>
      <c r="C8" s="10"/>
      <c r="D8" s="10"/>
      <c r="E8" s="10"/>
      <c r="F8" s="10"/>
      <c r="G8" s="10"/>
      <c r="H8" s="10"/>
      <c r="I8" s="10"/>
      <c r="J8" s="10"/>
      <c r="K8" s="10"/>
      <c r="L8" s="10"/>
      <c r="M8" s="10"/>
      <c r="N8" s="10"/>
      <c r="O8" s="10"/>
      <c r="P8" s="10"/>
      <c r="Q8" s="10"/>
      <c r="R8" s="10"/>
      <c r="S8" s="10"/>
      <c r="T8" s="10"/>
      <c r="U8" s="10"/>
      <c r="V8" s="10"/>
      <c r="W8" s="10"/>
    </row>
    <row r="9" spans="1:23" x14ac:dyDescent="0.3">
      <c r="A9" s="10"/>
      <c r="B9" s="10"/>
      <c r="C9" s="10"/>
      <c r="D9" s="10"/>
      <c r="E9" s="10"/>
      <c r="F9" s="10"/>
      <c r="G9" s="10"/>
      <c r="H9" s="10"/>
      <c r="I9" s="10"/>
      <c r="J9" s="10"/>
      <c r="K9" s="10"/>
      <c r="L9" s="10"/>
      <c r="M9" s="10"/>
      <c r="N9" s="10"/>
      <c r="O9" s="10"/>
      <c r="P9" s="10"/>
      <c r="Q9" s="10"/>
      <c r="R9" s="10"/>
      <c r="S9" s="10"/>
      <c r="T9" s="10"/>
      <c r="U9" s="10"/>
      <c r="V9" s="10"/>
      <c r="W9" s="10"/>
    </row>
    <row r="10" spans="1:23" x14ac:dyDescent="0.3">
      <c r="A10" s="10"/>
      <c r="B10" s="10"/>
      <c r="C10" s="10"/>
      <c r="D10" s="10"/>
      <c r="E10" s="10"/>
      <c r="F10" s="10"/>
      <c r="G10" s="10"/>
      <c r="H10" s="10"/>
      <c r="I10" s="10"/>
      <c r="J10" s="10"/>
      <c r="K10" s="10"/>
      <c r="L10" s="10"/>
      <c r="M10" s="10"/>
      <c r="N10" s="10"/>
      <c r="O10" s="10"/>
      <c r="P10" s="10"/>
      <c r="Q10" s="10"/>
      <c r="R10" s="10"/>
      <c r="S10" s="10"/>
      <c r="T10" s="10"/>
      <c r="U10" s="10"/>
      <c r="V10" s="10"/>
      <c r="W10" s="10"/>
    </row>
    <row r="11" spans="1:23" x14ac:dyDescent="0.3">
      <c r="A11" s="10"/>
      <c r="B11" s="10"/>
      <c r="C11" s="10"/>
      <c r="D11" s="10"/>
      <c r="E11" s="10"/>
      <c r="F11" s="10"/>
      <c r="G11" s="10"/>
      <c r="H11" s="10"/>
      <c r="I11" s="10"/>
      <c r="J11" s="10"/>
      <c r="K11" s="10"/>
      <c r="L11" s="10"/>
      <c r="M11" s="10"/>
      <c r="N11" s="10"/>
      <c r="O11" s="10"/>
      <c r="P11" s="10"/>
      <c r="Q11" s="10"/>
      <c r="R11" s="10"/>
      <c r="S11" s="10"/>
      <c r="T11" s="10"/>
      <c r="U11" s="10"/>
      <c r="V11" s="10"/>
      <c r="W11" s="10"/>
    </row>
    <row r="12" spans="1:23" x14ac:dyDescent="0.3">
      <c r="A12" s="10"/>
      <c r="B12" s="10"/>
      <c r="C12" s="10"/>
      <c r="D12" s="10"/>
      <c r="E12" s="10"/>
      <c r="F12" s="10"/>
      <c r="G12" s="10"/>
      <c r="H12" s="10"/>
      <c r="I12" s="10"/>
      <c r="J12" s="10"/>
      <c r="K12" s="10"/>
      <c r="L12" s="10"/>
      <c r="M12" s="10"/>
      <c r="N12" s="10"/>
      <c r="O12" s="10"/>
      <c r="P12" s="10"/>
      <c r="Q12" s="10"/>
      <c r="R12" s="10"/>
      <c r="S12" s="10"/>
      <c r="T12" s="10"/>
      <c r="U12" s="10"/>
      <c r="V12" s="10"/>
      <c r="W12" s="10"/>
    </row>
    <row r="13" spans="1:23" x14ac:dyDescent="0.3">
      <c r="A13" s="10"/>
      <c r="B13" s="10"/>
      <c r="C13" s="10"/>
      <c r="D13" s="10"/>
      <c r="E13" s="10"/>
      <c r="F13" s="10"/>
      <c r="G13" s="10"/>
      <c r="H13" s="10"/>
      <c r="I13" s="10"/>
      <c r="J13" s="10"/>
      <c r="K13" s="10"/>
      <c r="L13" s="10"/>
      <c r="M13" s="10"/>
      <c r="N13" s="10"/>
      <c r="O13" s="10"/>
      <c r="P13" s="10"/>
      <c r="Q13" s="10"/>
      <c r="R13" s="10"/>
      <c r="S13" s="10"/>
      <c r="T13" s="10"/>
      <c r="U13" s="10"/>
      <c r="V13" s="10"/>
      <c r="W13" s="10"/>
    </row>
    <row r="14" spans="1:23" x14ac:dyDescent="0.3">
      <c r="A14" s="10"/>
      <c r="B14" s="10"/>
      <c r="C14" s="10"/>
      <c r="D14" s="10"/>
      <c r="E14" s="10"/>
      <c r="F14" s="10"/>
      <c r="G14" s="10"/>
      <c r="H14" s="10"/>
      <c r="I14" s="10"/>
      <c r="J14" s="10"/>
      <c r="K14" s="10"/>
      <c r="L14" s="10"/>
      <c r="M14" s="10"/>
      <c r="N14" s="10"/>
      <c r="O14" s="10"/>
      <c r="P14" s="10"/>
      <c r="Q14" s="10"/>
      <c r="R14" s="10"/>
      <c r="S14" s="10"/>
      <c r="T14" s="10"/>
      <c r="U14" s="10"/>
      <c r="V14" s="10"/>
      <c r="W14" s="10"/>
    </row>
    <row r="15" spans="1:23" x14ac:dyDescent="0.3">
      <c r="A15" s="10"/>
      <c r="B15" s="10"/>
      <c r="C15" s="10"/>
      <c r="D15" s="10"/>
      <c r="E15" s="10"/>
      <c r="F15" s="10"/>
      <c r="G15" s="10"/>
      <c r="H15" s="10"/>
      <c r="I15" s="10"/>
      <c r="J15" s="10"/>
      <c r="K15" s="10"/>
      <c r="L15" s="10"/>
      <c r="M15" s="10"/>
      <c r="N15" s="10"/>
      <c r="O15" s="10"/>
      <c r="P15" s="10"/>
      <c r="Q15" s="10"/>
      <c r="R15" s="10"/>
      <c r="S15" s="10"/>
      <c r="T15" s="10"/>
      <c r="U15" s="10"/>
      <c r="V15" s="10"/>
      <c r="W15" s="10"/>
    </row>
    <row r="16" spans="1:23" x14ac:dyDescent="0.3">
      <c r="A16" s="10"/>
      <c r="B16" s="10"/>
      <c r="C16" s="10"/>
      <c r="D16" s="10"/>
      <c r="E16" s="10"/>
      <c r="F16" s="10"/>
      <c r="G16" s="10"/>
      <c r="H16" s="10"/>
      <c r="I16" s="10"/>
      <c r="J16" s="10"/>
      <c r="K16" s="10"/>
      <c r="L16" s="10"/>
      <c r="M16" s="10"/>
      <c r="N16" s="10"/>
      <c r="O16" s="10"/>
      <c r="P16" s="10"/>
      <c r="Q16" s="10"/>
      <c r="R16" s="10"/>
      <c r="S16" s="10"/>
      <c r="T16" s="10"/>
      <c r="U16" s="10"/>
      <c r="V16" s="10"/>
      <c r="W16" s="10"/>
    </row>
    <row r="17" spans="1:23" x14ac:dyDescent="0.3">
      <c r="A17" s="10"/>
      <c r="B17" s="10"/>
      <c r="C17" s="10"/>
      <c r="D17" s="10"/>
      <c r="E17" s="10"/>
      <c r="F17" s="10"/>
      <c r="G17" s="10"/>
      <c r="H17" s="10"/>
      <c r="I17" s="10"/>
      <c r="J17" s="10"/>
      <c r="K17" s="10"/>
      <c r="L17" s="10"/>
      <c r="M17" s="10"/>
      <c r="N17" s="10"/>
      <c r="O17" s="10"/>
      <c r="P17" s="10"/>
      <c r="Q17" s="10"/>
      <c r="R17" s="10"/>
      <c r="S17" s="10"/>
      <c r="T17" s="10"/>
      <c r="U17" s="10"/>
      <c r="V17" s="10"/>
      <c r="W17" s="10"/>
    </row>
    <row r="18" spans="1:23" x14ac:dyDescent="0.3">
      <c r="A18" s="10"/>
      <c r="B18" s="10"/>
      <c r="C18" s="10"/>
      <c r="D18" s="10"/>
      <c r="E18" s="10"/>
      <c r="F18" s="10"/>
      <c r="G18" s="10"/>
      <c r="H18" s="10"/>
      <c r="I18" s="10"/>
      <c r="J18" s="10"/>
      <c r="K18" s="10"/>
      <c r="L18" s="10"/>
      <c r="M18" s="10"/>
      <c r="N18" s="10"/>
      <c r="O18" s="10"/>
      <c r="P18" s="10"/>
      <c r="Q18" s="10"/>
      <c r="R18" s="10"/>
      <c r="S18" s="10"/>
      <c r="T18" s="10"/>
      <c r="U18" s="10"/>
      <c r="V18" s="10"/>
      <c r="W18" s="10"/>
    </row>
    <row r="19" spans="1:23" x14ac:dyDescent="0.3">
      <c r="A19" s="10"/>
      <c r="B19" s="10"/>
      <c r="C19" s="10"/>
      <c r="D19" s="10"/>
      <c r="E19" s="10"/>
      <c r="F19" s="10"/>
      <c r="G19" s="10"/>
      <c r="H19" s="10"/>
      <c r="I19" s="10"/>
      <c r="J19" s="10"/>
      <c r="K19" s="10"/>
      <c r="L19" s="10"/>
      <c r="M19" s="10"/>
      <c r="N19" s="10"/>
      <c r="O19" s="10"/>
      <c r="P19" s="10"/>
      <c r="Q19" s="10"/>
      <c r="R19" s="10"/>
      <c r="S19" s="10"/>
      <c r="T19" s="10"/>
      <c r="U19" s="10"/>
      <c r="V19" s="10"/>
      <c r="W19" s="10"/>
    </row>
    <row r="20" spans="1:23" x14ac:dyDescent="0.3">
      <c r="A20" s="10"/>
      <c r="B20" s="10"/>
      <c r="C20" s="10"/>
      <c r="D20" s="10"/>
      <c r="E20" s="10"/>
      <c r="F20" s="10"/>
      <c r="G20" s="10"/>
      <c r="H20" s="10"/>
      <c r="I20" s="10"/>
      <c r="J20" s="10"/>
      <c r="K20" s="10"/>
      <c r="L20" s="10"/>
      <c r="M20" s="10"/>
      <c r="N20" s="10"/>
      <c r="O20" s="10"/>
      <c r="P20" s="10"/>
      <c r="Q20" s="10"/>
      <c r="R20" s="10"/>
      <c r="S20" s="10"/>
      <c r="T20" s="10"/>
      <c r="U20" s="10"/>
      <c r="V20" s="10"/>
      <c r="W20" s="10"/>
    </row>
    <row r="21" spans="1:23" x14ac:dyDescent="0.3">
      <c r="A21" s="10"/>
      <c r="B21" s="10"/>
      <c r="C21" s="10"/>
      <c r="D21" s="10"/>
      <c r="E21" s="10"/>
      <c r="F21" s="10"/>
      <c r="G21" s="10"/>
      <c r="H21" s="10"/>
      <c r="I21" s="10"/>
      <c r="J21" s="10"/>
      <c r="K21" s="10"/>
      <c r="L21" s="10"/>
      <c r="M21" s="10"/>
      <c r="N21" s="10"/>
      <c r="O21" s="10"/>
      <c r="P21" s="10"/>
      <c r="Q21" s="10"/>
      <c r="R21" s="10"/>
      <c r="S21" s="10"/>
      <c r="T21" s="10"/>
      <c r="U21" s="10"/>
      <c r="V21" s="10"/>
      <c r="W21" s="10"/>
    </row>
    <row r="22" spans="1:23" x14ac:dyDescent="0.3">
      <c r="A22" s="10"/>
      <c r="B22" s="10"/>
      <c r="C22" s="10"/>
      <c r="D22" s="10"/>
      <c r="E22" s="10"/>
      <c r="F22" s="10"/>
      <c r="G22" s="10"/>
      <c r="H22" s="10"/>
      <c r="I22" s="10"/>
      <c r="J22" s="10"/>
      <c r="K22" s="10"/>
      <c r="L22" s="10"/>
      <c r="M22" s="10"/>
      <c r="N22" s="10"/>
      <c r="O22" s="10"/>
      <c r="P22" s="10"/>
      <c r="Q22" s="10"/>
      <c r="R22" s="10"/>
      <c r="S22" s="10"/>
      <c r="T22" s="10"/>
      <c r="U22" s="10"/>
      <c r="V22" s="10"/>
      <c r="W22" s="10"/>
    </row>
    <row r="23" spans="1:23" x14ac:dyDescent="0.3">
      <c r="A23" s="10"/>
      <c r="B23" s="10"/>
      <c r="C23" s="10"/>
      <c r="D23" s="10"/>
      <c r="E23" s="10"/>
      <c r="F23" s="10"/>
      <c r="G23" s="10"/>
      <c r="H23" s="10"/>
      <c r="I23" s="10"/>
      <c r="J23" s="10"/>
      <c r="K23" s="10"/>
      <c r="L23" s="10"/>
      <c r="M23" s="10"/>
      <c r="N23" s="10"/>
      <c r="O23" s="10"/>
      <c r="P23" s="10"/>
      <c r="Q23" s="10"/>
      <c r="R23" s="10"/>
      <c r="S23" s="10"/>
      <c r="T23" s="10"/>
      <c r="U23" s="10"/>
      <c r="V23" s="10"/>
      <c r="W23" s="10"/>
    </row>
    <row r="24" spans="1:23" x14ac:dyDescent="0.3">
      <c r="A24" s="10"/>
      <c r="B24" s="10"/>
      <c r="C24" s="10"/>
      <c r="D24" s="10"/>
      <c r="E24" s="10"/>
      <c r="F24" s="10"/>
      <c r="G24" s="10"/>
      <c r="H24" s="10"/>
      <c r="I24" s="10"/>
      <c r="J24" s="10"/>
      <c r="K24" s="10"/>
      <c r="L24" s="10"/>
      <c r="M24" s="10"/>
      <c r="N24" s="10"/>
      <c r="O24" s="10"/>
      <c r="P24" s="10"/>
      <c r="Q24" s="10"/>
      <c r="R24" s="10"/>
      <c r="S24" s="10"/>
      <c r="T24" s="10"/>
      <c r="U24" s="10"/>
      <c r="V24" s="10"/>
      <c r="W24" s="10"/>
    </row>
    <row r="25" spans="1:23" x14ac:dyDescent="0.3">
      <c r="A25" s="10"/>
      <c r="B25" s="10"/>
      <c r="C25" s="10"/>
      <c r="D25" s="10"/>
      <c r="E25" s="10"/>
      <c r="F25" s="10"/>
      <c r="G25" s="10"/>
      <c r="H25" s="10"/>
      <c r="I25" s="10"/>
      <c r="J25" s="10"/>
      <c r="K25" s="10"/>
      <c r="L25" s="10"/>
      <c r="M25" s="10"/>
      <c r="N25" s="10"/>
      <c r="O25" s="10"/>
      <c r="P25" s="10"/>
      <c r="Q25" s="10"/>
      <c r="R25" s="10"/>
      <c r="S25" s="10"/>
      <c r="T25" s="10"/>
      <c r="U25" s="10"/>
      <c r="V25" s="10"/>
      <c r="W25" s="10"/>
    </row>
    <row r="26" spans="1:23" x14ac:dyDescent="0.3">
      <c r="A26" s="10"/>
      <c r="B26" s="10"/>
      <c r="C26" s="10"/>
      <c r="D26" s="10"/>
      <c r="E26" s="10"/>
      <c r="F26" s="10"/>
      <c r="G26" s="10"/>
      <c r="H26" s="10"/>
      <c r="I26" s="10"/>
      <c r="J26" s="10"/>
      <c r="K26" s="10"/>
      <c r="L26" s="10"/>
      <c r="M26" s="10"/>
      <c r="N26" s="10"/>
      <c r="O26" s="10"/>
      <c r="P26" s="10"/>
      <c r="Q26" s="10"/>
      <c r="R26" s="10"/>
      <c r="S26" s="10"/>
      <c r="T26" s="10"/>
      <c r="U26" s="10"/>
      <c r="V26" s="10"/>
      <c r="W26" s="10"/>
    </row>
    <row r="27" spans="1:23" x14ac:dyDescent="0.3">
      <c r="A27" s="10"/>
      <c r="B27" s="10"/>
      <c r="C27" s="10"/>
      <c r="D27" s="10"/>
      <c r="E27" s="10"/>
      <c r="F27" s="10"/>
      <c r="G27" s="10"/>
      <c r="H27" s="10"/>
      <c r="I27" s="10"/>
      <c r="J27" s="10"/>
      <c r="K27" s="10"/>
      <c r="L27" s="10"/>
      <c r="M27" s="10"/>
      <c r="N27" s="10"/>
      <c r="O27" s="10"/>
      <c r="P27" s="10"/>
      <c r="Q27" s="10"/>
      <c r="R27" s="10"/>
      <c r="S27" s="10"/>
      <c r="T27" s="10"/>
      <c r="U27" s="10"/>
      <c r="V27" s="10"/>
      <c r="W27" s="10"/>
    </row>
    <row r="28" spans="1:23" x14ac:dyDescent="0.3">
      <c r="A28" s="10"/>
      <c r="B28" s="10"/>
      <c r="C28" s="10"/>
      <c r="D28" s="10"/>
      <c r="E28" s="10"/>
      <c r="F28" s="10"/>
      <c r="G28" s="10"/>
      <c r="H28" s="10"/>
      <c r="I28" s="10"/>
      <c r="J28" s="10"/>
      <c r="K28" s="10"/>
      <c r="L28" s="10"/>
      <c r="M28" s="10"/>
      <c r="N28" s="10"/>
      <c r="O28" s="10"/>
      <c r="P28" s="10"/>
      <c r="Q28" s="10"/>
      <c r="R28" s="10"/>
      <c r="S28" s="10"/>
      <c r="T28" s="10"/>
      <c r="U28" s="10"/>
      <c r="V28" s="10"/>
      <c r="W28" s="10"/>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C911-2F1D-44F8-9DDD-EF2E28DCD9FD}">
  <dimension ref="A1:Q704"/>
  <sheetViews>
    <sheetView topLeftCell="A2" workbookViewId="0">
      <selection activeCell="A2" sqref="A2"/>
    </sheetView>
  </sheetViews>
  <sheetFormatPr defaultRowHeight="14.4" x14ac:dyDescent="0.3"/>
  <cols>
    <col min="1" max="1" width="13.5546875" bestFit="1" customWidth="1"/>
    <col min="2" max="2" width="14.77734375" bestFit="1" customWidth="1"/>
    <col min="3" max="3" width="7" bestFit="1" customWidth="1"/>
    <col min="5" max="5" width="15.109375" bestFit="1" customWidth="1"/>
    <col min="6" max="6" width="18.5546875" bestFit="1" customWidth="1"/>
    <col min="7" max="7" width="17.88671875" bestFit="1" customWidth="1"/>
    <col min="8" max="8" width="28.44140625" bestFit="1" customWidth="1"/>
    <col min="9" max="9" width="10.5546875" bestFit="1" customWidth="1"/>
    <col min="10" max="10" width="17.109375" bestFit="1" customWidth="1"/>
    <col min="11" max="11" width="18.44140625" bestFit="1" customWidth="1"/>
    <col min="12" max="12" width="15.88671875" bestFit="1" customWidth="1"/>
    <col min="13" max="13" width="11.109375" bestFit="1" customWidth="1"/>
    <col min="14" max="14" width="15.77734375" bestFit="1" customWidth="1"/>
    <col min="15" max="15" width="11" bestFit="1" customWidth="1"/>
    <col min="16" max="16" width="10.6640625" bestFit="1" customWidth="1"/>
    <col min="17" max="17" width="6.66406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v>47.41</v>
      </c>
      <c r="D2">
        <v>7.47</v>
      </c>
      <c r="E2" t="s">
        <v>19</v>
      </c>
      <c r="F2" t="s">
        <v>19</v>
      </c>
      <c r="G2" t="s">
        <v>19</v>
      </c>
      <c r="H2">
        <v>0</v>
      </c>
      <c r="I2" t="s">
        <v>20</v>
      </c>
      <c r="J2" t="s">
        <v>21</v>
      </c>
      <c r="K2" t="s">
        <v>22</v>
      </c>
      <c r="L2" s="1">
        <v>25123</v>
      </c>
      <c r="M2">
        <v>63770.43</v>
      </c>
      <c r="N2" t="s">
        <v>23</v>
      </c>
      <c r="O2" t="s">
        <v>24</v>
      </c>
      <c r="P2" t="s">
        <v>25</v>
      </c>
      <c r="Q2">
        <v>54</v>
      </c>
    </row>
    <row r="3" spans="1:17" x14ac:dyDescent="0.3">
      <c r="A3" t="s">
        <v>26</v>
      </c>
      <c r="B3" t="s">
        <v>27</v>
      </c>
      <c r="C3">
        <v>30.36</v>
      </c>
      <c r="D3">
        <v>5.77</v>
      </c>
      <c r="E3" t="s">
        <v>19</v>
      </c>
      <c r="F3" t="s">
        <v>19</v>
      </c>
      <c r="G3" t="s">
        <v>19</v>
      </c>
      <c r="H3">
        <v>0</v>
      </c>
      <c r="I3" t="s">
        <v>20</v>
      </c>
      <c r="J3" t="s">
        <v>21</v>
      </c>
      <c r="K3" t="s">
        <v>28</v>
      </c>
      <c r="L3" s="1">
        <v>28284</v>
      </c>
      <c r="M3">
        <v>62592.87</v>
      </c>
      <c r="N3" t="s">
        <v>29</v>
      </c>
      <c r="O3" t="s">
        <v>24</v>
      </c>
      <c r="P3" t="s">
        <v>25</v>
      </c>
      <c r="Q3">
        <v>46</v>
      </c>
    </row>
    <row r="4" spans="1:17" x14ac:dyDescent="0.3">
      <c r="A4" t="s">
        <v>30</v>
      </c>
      <c r="B4" t="s">
        <v>31</v>
      </c>
      <c r="C4">
        <v>34.484999999999999</v>
      </c>
      <c r="D4">
        <v>11.87</v>
      </c>
      <c r="E4" t="s">
        <v>32</v>
      </c>
      <c r="F4" t="s">
        <v>19</v>
      </c>
      <c r="G4" t="s">
        <v>19</v>
      </c>
      <c r="H4">
        <v>2</v>
      </c>
      <c r="I4" t="s">
        <v>20</v>
      </c>
      <c r="J4" t="s">
        <v>21</v>
      </c>
      <c r="K4" t="s">
        <v>22</v>
      </c>
      <c r="L4" s="1">
        <v>25822</v>
      </c>
      <c r="M4">
        <v>60021.4</v>
      </c>
      <c r="N4" t="s">
        <v>23</v>
      </c>
      <c r="O4" t="s">
        <v>23</v>
      </c>
      <c r="P4" t="s">
        <v>33</v>
      </c>
      <c r="Q4">
        <v>52</v>
      </c>
    </row>
    <row r="5" spans="1:17" x14ac:dyDescent="0.3">
      <c r="A5" t="s">
        <v>34</v>
      </c>
      <c r="B5" t="s">
        <v>35</v>
      </c>
      <c r="C5">
        <v>38.094999999999999</v>
      </c>
      <c r="D5">
        <v>6.05</v>
      </c>
      <c r="E5" t="s">
        <v>19</v>
      </c>
      <c r="F5" t="s">
        <v>19</v>
      </c>
      <c r="G5" t="s">
        <v>19</v>
      </c>
      <c r="H5">
        <v>0</v>
      </c>
      <c r="I5" t="s">
        <v>20</v>
      </c>
      <c r="J5" t="s">
        <v>21</v>
      </c>
      <c r="K5" t="s">
        <v>28</v>
      </c>
      <c r="L5" s="1">
        <v>33395</v>
      </c>
      <c r="M5">
        <v>58571.07</v>
      </c>
      <c r="N5" t="s">
        <v>23</v>
      </c>
      <c r="O5" t="s">
        <v>24</v>
      </c>
      <c r="P5" t="s">
        <v>36</v>
      </c>
      <c r="Q5">
        <v>32</v>
      </c>
    </row>
    <row r="6" spans="1:17" x14ac:dyDescent="0.3">
      <c r="A6" t="s">
        <v>37</v>
      </c>
      <c r="B6" t="s">
        <v>38</v>
      </c>
      <c r="C6">
        <v>35.53</v>
      </c>
      <c r="D6">
        <v>5.45</v>
      </c>
      <c r="E6" t="s">
        <v>19</v>
      </c>
      <c r="F6" t="s">
        <v>19</v>
      </c>
      <c r="G6" t="s">
        <v>19</v>
      </c>
      <c r="H6">
        <v>0</v>
      </c>
      <c r="I6" t="s">
        <v>20</v>
      </c>
      <c r="J6" t="s">
        <v>21</v>
      </c>
      <c r="K6" t="s">
        <v>39</v>
      </c>
      <c r="L6" s="1">
        <v>32678</v>
      </c>
      <c r="M6">
        <v>55135.4</v>
      </c>
      <c r="N6" t="s">
        <v>23</v>
      </c>
      <c r="O6" t="s">
        <v>29</v>
      </c>
      <c r="P6" t="s">
        <v>33</v>
      </c>
      <c r="Q6">
        <v>33</v>
      </c>
    </row>
    <row r="7" spans="1:17" x14ac:dyDescent="0.3">
      <c r="A7" t="s">
        <v>40</v>
      </c>
      <c r="B7" t="s">
        <v>41</v>
      </c>
      <c r="C7">
        <v>32.799999999999997</v>
      </c>
      <c r="D7">
        <v>6.59</v>
      </c>
      <c r="E7" t="s">
        <v>19</v>
      </c>
      <c r="F7" t="s">
        <v>19</v>
      </c>
      <c r="G7" t="s">
        <v>19</v>
      </c>
      <c r="H7">
        <v>0</v>
      </c>
      <c r="I7" t="s">
        <v>20</v>
      </c>
      <c r="J7" t="s">
        <v>21</v>
      </c>
      <c r="K7" t="s">
        <v>22</v>
      </c>
      <c r="L7" s="1">
        <v>22862</v>
      </c>
      <c r="M7">
        <v>52590.83</v>
      </c>
      <c r="N7" t="s">
        <v>23</v>
      </c>
      <c r="O7" t="s">
        <v>24</v>
      </c>
      <c r="P7" t="s">
        <v>42</v>
      </c>
      <c r="Q7">
        <v>60</v>
      </c>
    </row>
    <row r="8" spans="1:17" x14ac:dyDescent="0.3">
      <c r="A8" t="s">
        <v>43</v>
      </c>
      <c r="B8" t="s">
        <v>44</v>
      </c>
      <c r="C8">
        <v>36.4</v>
      </c>
      <c r="D8">
        <v>6.07</v>
      </c>
      <c r="E8" t="s">
        <v>19</v>
      </c>
      <c r="F8" t="s">
        <v>19</v>
      </c>
      <c r="G8" t="s">
        <v>19</v>
      </c>
      <c r="H8">
        <v>0</v>
      </c>
      <c r="I8" t="s">
        <v>20</v>
      </c>
      <c r="J8" t="s">
        <v>21</v>
      </c>
      <c r="K8" t="s">
        <v>28</v>
      </c>
      <c r="L8" s="1">
        <v>34634</v>
      </c>
      <c r="M8">
        <v>51194.559999999998</v>
      </c>
      <c r="N8" t="s">
        <v>23</v>
      </c>
      <c r="O8" t="s">
        <v>24</v>
      </c>
      <c r="P8" t="s">
        <v>42</v>
      </c>
      <c r="Q8">
        <v>28</v>
      </c>
    </row>
    <row r="9" spans="1:17" x14ac:dyDescent="0.3">
      <c r="A9" t="s">
        <v>45</v>
      </c>
      <c r="B9" t="s">
        <v>46</v>
      </c>
      <c r="C9">
        <v>36.96</v>
      </c>
      <c r="D9">
        <v>7.93</v>
      </c>
      <c r="E9" t="s">
        <v>19</v>
      </c>
      <c r="F9" t="s">
        <v>19</v>
      </c>
      <c r="G9" t="s">
        <v>19</v>
      </c>
      <c r="H9">
        <v>3</v>
      </c>
      <c r="I9" t="s">
        <v>20</v>
      </c>
      <c r="J9" t="s">
        <v>21</v>
      </c>
      <c r="K9" t="s">
        <v>22</v>
      </c>
      <c r="L9" s="1">
        <v>21363</v>
      </c>
      <c r="M9">
        <v>49577.66</v>
      </c>
      <c r="N9" t="s">
        <v>29</v>
      </c>
      <c r="O9" t="s">
        <v>29</v>
      </c>
      <c r="P9" t="s">
        <v>25</v>
      </c>
      <c r="Q9">
        <v>64</v>
      </c>
    </row>
    <row r="10" spans="1:17" x14ac:dyDescent="0.3">
      <c r="A10" t="s">
        <v>47</v>
      </c>
      <c r="B10" t="s">
        <v>48</v>
      </c>
      <c r="C10">
        <v>41.14</v>
      </c>
      <c r="D10">
        <v>9.58</v>
      </c>
      <c r="E10" t="s">
        <v>32</v>
      </c>
      <c r="F10" t="s">
        <v>19</v>
      </c>
      <c r="G10" t="s">
        <v>20</v>
      </c>
      <c r="H10">
        <v>1</v>
      </c>
      <c r="I10" t="s">
        <v>20</v>
      </c>
      <c r="J10" t="s">
        <v>21</v>
      </c>
      <c r="K10" t="s">
        <v>22</v>
      </c>
      <c r="L10" s="1">
        <v>23258</v>
      </c>
      <c r="M10">
        <v>48970.25</v>
      </c>
      <c r="N10" t="s">
        <v>23</v>
      </c>
      <c r="O10" t="s">
        <v>29</v>
      </c>
      <c r="P10" t="s">
        <v>25</v>
      </c>
      <c r="Q10">
        <v>59</v>
      </c>
    </row>
    <row r="11" spans="1:17" x14ac:dyDescent="0.3">
      <c r="A11" t="s">
        <v>49</v>
      </c>
      <c r="B11" t="s">
        <v>50</v>
      </c>
      <c r="C11">
        <v>38.06</v>
      </c>
      <c r="D11">
        <v>10.79</v>
      </c>
      <c r="E11" t="s">
        <v>19</v>
      </c>
      <c r="F11" t="s">
        <v>19</v>
      </c>
      <c r="G11" t="s">
        <v>19</v>
      </c>
      <c r="H11">
        <v>0</v>
      </c>
      <c r="I11" t="s">
        <v>20</v>
      </c>
      <c r="J11" t="s">
        <v>21</v>
      </c>
      <c r="K11" t="s">
        <v>22</v>
      </c>
      <c r="L11" s="1">
        <v>28853</v>
      </c>
      <c r="M11">
        <v>48885.14</v>
      </c>
      <c r="N11" t="s">
        <v>23</v>
      </c>
      <c r="O11" t="s">
        <v>29</v>
      </c>
      <c r="P11" t="s">
        <v>25</v>
      </c>
      <c r="Q11">
        <v>44</v>
      </c>
    </row>
    <row r="12" spans="1:17" x14ac:dyDescent="0.3">
      <c r="A12" t="s">
        <v>51</v>
      </c>
      <c r="B12" t="s">
        <v>52</v>
      </c>
      <c r="C12">
        <v>37.700000000000003</v>
      </c>
      <c r="D12">
        <v>5.96</v>
      </c>
      <c r="E12" t="s">
        <v>32</v>
      </c>
      <c r="F12" t="s">
        <v>19</v>
      </c>
      <c r="G12" t="s">
        <v>19</v>
      </c>
      <c r="H12">
        <v>2</v>
      </c>
      <c r="I12" t="s">
        <v>20</v>
      </c>
      <c r="J12" t="s">
        <v>21</v>
      </c>
      <c r="K12" t="s">
        <v>28</v>
      </c>
      <c r="L12" s="1">
        <v>21753</v>
      </c>
      <c r="M12">
        <v>48824.45</v>
      </c>
      <c r="N12" t="s">
        <v>29</v>
      </c>
      <c r="O12" t="s">
        <v>23</v>
      </c>
      <c r="P12" t="s">
        <v>42</v>
      </c>
      <c r="Q12">
        <v>63</v>
      </c>
    </row>
    <row r="13" spans="1:17" x14ac:dyDescent="0.3">
      <c r="A13" t="s">
        <v>53</v>
      </c>
      <c r="B13" t="s">
        <v>54</v>
      </c>
      <c r="C13">
        <v>42.13</v>
      </c>
      <c r="D13">
        <v>11.9</v>
      </c>
      <c r="E13" t="s">
        <v>19</v>
      </c>
      <c r="F13" t="s">
        <v>19</v>
      </c>
      <c r="G13" t="s">
        <v>19</v>
      </c>
      <c r="H13">
        <v>0</v>
      </c>
      <c r="I13" t="s">
        <v>20</v>
      </c>
      <c r="J13" t="s">
        <v>21</v>
      </c>
      <c r="K13" t="s">
        <v>22</v>
      </c>
      <c r="L13" s="1">
        <v>24042</v>
      </c>
      <c r="M13">
        <v>48675.519999999997</v>
      </c>
      <c r="N13" t="s">
        <v>23</v>
      </c>
      <c r="O13" t="s">
        <v>29</v>
      </c>
      <c r="P13" t="s">
        <v>25</v>
      </c>
      <c r="Q13">
        <v>57</v>
      </c>
    </row>
    <row r="14" spans="1:17" x14ac:dyDescent="0.3">
      <c r="A14" t="s">
        <v>55</v>
      </c>
      <c r="B14" t="s">
        <v>56</v>
      </c>
      <c r="C14">
        <v>40.92</v>
      </c>
      <c r="D14">
        <v>8.41</v>
      </c>
      <c r="E14" t="s">
        <v>19</v>
      </c>
      <c r="F14" t="s">
        <v>19</v>
      </c>
      <c r="G14" t="s">
        <v>19</v>
      </c>
      <c r="H14">
        <v>0</v>
      </c>
      <c r="I14" t="s">
        <v>20</v>
      </c>
      <c r="J14" t="s">
        <v>21</v>
      </c>
      <c r="K14" t="s">
        <v>22</v>
      </c>
      <c r="L14" s="1">
        <v>22930</v>
      </c>
      <c r="M14">
        <v>48673.56</v>
      </c>
      <c r="N14" t="s">
        <v>23</v>
      </c>
      <c r="O14" t="s">
        <v>29</v>
      </c>
      <c r="P14" t="s">
        <v>25</v>
      </c>
      <c r="Q14">
        <v>60</v>
      </c>
    </row>
    <row r="15" spans="1:17" x14ac:dyDescent="0.3">
      <c r="A15" t="s">
        <v>57</v>
      </c>
      <c r="B15" t="s">
        <v>58</v>
      </c>
      <c r="C15">
        <v>40.564999999999998</v>
      </c>
      <c r="D15">
        <v>7.02</v>
      </c>
      <c r="E15" t="s">
        <v>19</v>
      </c>
      <c r="F15" t="s">
        <v>19</v>
      </c>
      <c r="G15" t="s">
        <v>19</v>
      </c>
      <c r="H15">
        <v>0</v>
      </c>
      <c r="I15" t="s">
        <v>20</v>
      </c>
      <c r="J15" t="s">
        <v>21</v>
      </c>
      <c r="K15" t="s">
        <v>22</v>
      </c>
      <c r="L15" s="1">
        <v>25173</v>
      </c>
      <c r="M15">
        <v>48549.18</v>
      </c>
      <c r="N15" t="s">
        <v>23</v>
      </c>
      <c r="O15" t="s">
        <v>24</v>
      </c>
      <c r="P15" t="s">
        <v>59</v>
      </c>
      <c r="Q15">
        <v>54</v>
      </c>
    </row>
    <row r="16" spans="1:17" x14ac:dyDescent="0.3">
      <c r="A16" t="s">
        <v>60</v>
      </c>
      <c r="B16" t="s">
        <v>61</v>
      </c>
      <c r="C16">
        <v>36.384999999999998</v>
      </c>
      <c r="D16">
        <v>7.59</v>
      </c>
      <c r="E16" t="s">
        <v>32</v>
      </c>
      <c r="F16" t="s">
        <v>19</v>
      </c>
      <c r="G16" t="s">
        <v>19</v>
      </c>
      <c r="H16">
        <v>2</v>
      </c>
      <c r="I16" t="s">
        <v>20</v>
      </c>
      <c r="J16" t="s">
        <v>21</v>
      </c>
      <c r="K16" t="s">
        <v>22</v>
      </c>
      <c r="L16" s="1">
        <v>22636</v>
      </c>
      <c r="M16">
        <v>48517.56</v>
      </c>
      <c r="N16" t="s">
        <v>23</v>
      </c>
      <c r="O16" t="s">
        <v>24</v>
      </c>
      <c r="P16" t="s">
        <v>36</v>
      </c>
      <c r="Q16">
        <v>61</v>
      </c>
    </row>
    <row r="17" spans="1:17" x14ac:dyDescent="0.3">
      <c r="A17" t="s">
        <v>62</v>
      </c>
      <c r="B17" t="s">
        <v>63</v>
      </c>
      <c r="C17">
        <v>39.9</v>
      </c>
      <c r="D17">
        <v>11.32</v>
      </c>
      <c r="E17" t="s">
        <v>19</v>
      </c>
      <c r="F17" t="s">
        <v>19</v>
      </c>
      <c r="G17" t="s">
        <v>19</v>
      </c>
      <c r="H17">
        <v>0</v>
      </c>
      <c r="I17" t="s">
        <v>20</v>
      </c>
      <c r="J17" t="s">
        <v>21</v>
      </c>
      <c r="K17" t="s">
        <v>22</v>
      </c>
      <c r="L17" s="1">
        <v>22885</v>
      </c>
      <c r="M17">
        <v>48173.36</v>
      </c>
      <c r="N17" t="s">
        <v>23</v>
      </c>
      <c r="O17" t="s">
        <v>24</v>
      </c>
      <c r="P17" t="s">
        <v>42</v>
      </c>
      <c r="Q17">
        <v>60</v>
      </c>
    </row>
    <row r="18" spans="1:17" x14ac:dyDescent="0.3">
      <c r="A18" t="s">
        <v>64</v>
      </c>
      <c r="B18" t="s">
        <v>65</v>
      </c>
      <c r="C18">
        <v>33.799999999999997</v>
      </c>
      <c r="D18">
        <v>7.67</v>
      </c>
      <c r="E18" t="s">
        <v>19</v>
      </c>
      <c r="F18" t="s">
        <v>19</v>
      </c>
      <c r="G18" t="s">
        <v>19</v>
      </c>
      <c r="H18">
        <v>3</v>
      </c>
      <c r="I18" t="s">
        <v>20</v>
      </c>
      <c r="J18" t="s">
        <v>21</v>
      </c>
      <c r="K18" t="s">
        <v>22</v>
      </c>
      <c r="L18" s="1">
        <v>21505</v>
      </c>
      <c r="M18">
        <v>47928.03</v>
      </c>
      <c r="N18" t="s">
        <v>29</v>
      </c>
      <c r="O18" t="s">
        <v>24</v>
      </c>
      <c r="P18" t="s">
        <v>42</v>
      </c>
      <c r="Q18">
        <v>64</v>
      </c>
    </row>
    <row r="19" spans="1:17" x14ac:dyDescent="0.3">
      <c r="A19" t="s">
        <v>66</v>
      </c>
      <c r="B19" t="s">
        <v>67</v>
      </c>
      <c r="C19">
        <v>36.765000000000001</v>
      </c>
      <c r="D19">
        <v>7.29</v>
      </c>
      <c r="E19" t="s">
        <v>32</v>
      </c>
      <c r="F19" t="s">
        <v>19</v>
      </c>
      <c r="G19" t="s">
        <v>20</v>
      </c>
      <c r="H19">
        <v>1</v>
      </c>
      <c r="I19" t="s">
        <v>20</v>
      </c>
      <c r="J19" t="s">
        <v>21</v>
      </c>
      <c r="K19" t="s">
        <v>22</v>
      </c>
      <c r="L19" s="1">
        <v>23228</v>
      </c>
      <c r="M19">
        <v>47896.79</v>
      </c>
      <c r="N19" t="s">
        <v>23</v>
      </c>
      <c r="O19" t="s">
        <v>24</v>
      </c>
      <c r="P19" t="s">
        <v>36</v>
      </c>
      <c r="Q19">
        <v>59</v>
      </c>
    </row>
    <row r="20" spans="1:17" x14ac:dyDescent="0.3">
      <c r="A20" t="s">
        <v>68</v>
      </c>
      <c r="B20" t="s">
        <v>69</v>
      </c>
      <c r="C20">
        <v>36.954999999999998</v>
      </c>
      <c r="D20">
        <v>4.72</v>
      </c>
      <c r="E20" t="s">
        <v>32</v>
      </c>
      <c r="F20" t="s">
        <v>19</v>
      </c>
      <c r="G20" t="s">
        <v>19</v>
      </c>
      <c r="H20">
        <v>1</v>
      </c>
      <c r="I20" t="s">
        <v>20</v>
      </c>
      <c r="J20" t="s">
        <v>21</v>
      </c>
      <c r="K20" t="s">
        <v>39</v>
      </c>
      <c r="L20" s="1">
        <v>23688</v>
      </c>
      <c r="M20">
        <v>47496.49</v>
      </c>
      <c r="N20" t="s">
        <v>23</v>
      </c>
      <c r="O20" t="s">
        <v>24</v>
      </c>
      <c r="P20" t="s">
        <v>33</v>
      </c>
      <c r="Q20">
        <v>58</v>
      </c>
    </row>
    <row r="21" spans="1:17" x14ac:dyDescent="0.3">
      <c r="A21" t="s">
        <v>70</v>
      </c>
      <c r="B21" t="s">
        <v>71</v>
      </c>
      <c r="C21">
        <v>42.9</v>
      </c>
      <c r="D21">
        <v>11.41</v>
      </c>
      <c r="E21" t="s">
        <v>19</v>
      </c>
      <c r="F21" t="s">
        <v>19</v>
      </c>
      <c r="G21" t="s">
        <v>19</v>
      </c>
      <c r="H21">
        <v>0</v>
      </c>
      <c r="I21" t="s">
        <v>20</v>
      </c>
      <c r="J21" t="s">
        <v>21</v>
      </c>
      <c r="K21" t="s">
        <v>22</v>
      </c>
      <c r="L21" s="1">
        <v>26203</v>
      </c>
      <c r="M21">
        <v>47462.89</v>
      </c>
      <c r="N21" t="s">
        <v>23</v>
      </c>
      <c r="O21" t="s">
        <v>29</v>
      </c>
      <c r="P21" t="s">
        <v>25</v>
      </c>
      <c r="Q21">
        <v>51</v>
      </c>
    </row>
    <row r="22" spans="1:17" x14ac:dyDescent="0.3">
      <c r="A22" t="s">
        <v>72</v>
      </c>
      <c r="B22" t="s">
        <v>73</v>
      </c>
      <c r="C22">
        <v>36.299999999999997</v>
      </c>
      <c r="D22">
        <v>11.5</v>
      </c>
      <c r="E22" t="s">
        <v>32</v>
      </c>
      <c r="F22" t="s">
        <v>19</v>
      </c>
      <c r="G22" t="s">
        <v>19</v>
      </c>
      <c r="H22">
        <v>2</v>
      </c>
      <c r="I22" t="s">
        <v>20</v>
      </c>
      <c r="J22" t="s">
        <v>21</v>
      </c>
      <c r="K22" t="s">
        <v>22</v>
      </c>
      <c r="L22" s="1">
        <v>22445</v>
      </c>
      <c r="M22">
        <v>47403.88</v>
      </c>
      <c r="N22" t="s">
        <v>23</v>
      </c>
      <c r="O22" t="s">
        <v>24</v>
      </c>
      <c r="P22" t="s">
        <v>42</v>
      </c>
      <c r="Q22">
        <v>61</v>
      </c>
    </row>
    <row r="23" spans="1:17" x14ac:dyDescent="0.3">
      <c r="A23" t="s">
        <v>74</v>
      </c>
      <c r="B23" t="s">
        <v>75</v>
      </c>
      <c r="C23">
        <v>32.200000000000003</v>
      </c>
      <c r="D23">
        <v>6.22</v>
      </c>
      <c r="E23" t="s">
        <v>32</v>
      </c>
      <c r="F23" t="s">
        <v>19</v>
      </c>
      <c r="G23" t="s">
        <v>19</v>
      </c>
      <c r="H23">
        <v>2</v>
      </c>
      <c r="I23" t="s">
        <v>20</v>
      </c>
      <c r="J23" t="s">
        <v>21</v>
      </c>
      <c r="K23" t="s">
        <v>28</v>
      </c>
      <c r="L23" s="1">
        <v>21827</v>
      </c>
      <c r="M23">
        <v>47305.31</v>
      </c>
      <c r="N23" t="s">
        <v>29</v>
      </c>
      <c r="O23" t="s">
        <v>23</v>
      </c>
      <c r="P23" t="s">
        <v>42</v>
      </c>
      <c r="Q23">
        <v>63</v>
      </c>
    </row>
    <row r="24" spans="1:17" x14ac:dyDescent="0.3">
      <c r="A24" t="s">
        <v>76</v>
      </c>
      <c r="B24" t="s">
        <v>77</v>
      </c>
      <c r="C24">
        <v>31.3</v>
      </c>
      <c r="D24">
        <v>11.38</v>
      </c>
      <c r="E24" t="s">
        <v>19</v>
      </c>
      <c r="F24" t="s">
        <v>19</v>
      </c>
      <c r="G24" t="s">
        <v>19</v>
      </c>
      <c r="H24">
        <v>3</v>
      </c>
      <c r="I24" t="s">
        <v>20</v>
      </c>
      <c r="J24" t="s">
        <v>21</v>
      </c>
      <c r="K24" t="s">
        <v>22</v>
      </c>
      <c r="L24" s="1">
        <v>21431</v>
      </c>
      <c r="M24">
        <v>47291.06</v>
      </c>
      <c r="N24" t="s">
        <v>29</v>
      </c>
      <c r="O24" t="s">
        <v>23</v>
      </c>
      <c r="P24" t="s">
        <v>42</v>
      </c>
      <c r="Q24">
        <v>64</v>
      </c>
    </row>
    <row r="25" spans="1:17" x14ac:dyDescent="0.3">
      <c r="A25" t="s">
        <v>78</v>
      </c>
      <c r="B25" t="s">
        <v>79</v>
      </c>
      <c r="C25">
        <v>41.8</v>
      </c>
      <c r="D25">
        <v>7.89</v>
      </c>
      <c r="E25" t="s">
        <v>32</v>
      </c>
      <c r="F25" t="s">
        <v>19</v>
      </c>
      <c r="G25" t="s">
        <v>19</v>
      </c>
      <c r="H25">
        <v>2</v>
      </c>
      <c r="I25" t="s">
        <v>20</v>
      </c>
      <c r="J25" t="s">
        <v>21</v>
      </c>
      <c r="K25" t="s">
        <v>22</v>
      </c>
      <c r="L25" s="1">
        <v>25930</v>
      </c>
      <c r="M25">
        <v>47269.85</v>
      </c>
      <c r="N25" t="s">
        <v>23</v>
      </c>
      <c r="O25" t="s">
        <v>29</v>
      </c>
      <c r="P25" t="s">
        <v>25</v>
      </c>
      <c r="Q25">
        <v>52</v>
      </c>
    </row>
    <row r="26" spans="1:17" x14ac:dyDescent="0.3">
      <c r="A26" t="s">
        <v>80</v>
      </c>
      <c r="B26" t="s">
        <v>81</v>
      </c>
      <c r="C26">
        <v>35.090000000000003</v>
      </c>
      <c r="D26">
        <v>4.38</v>
      </c>
      <c r="E26" t="s">
        <v>32</v>
      </c>
      <c r="F26" t="s">
        <v>19</v>
      </c>
      <c r="G26" t="s">
        <v>19</v>
      </c>
      <c r="H26">
        <v>2</v>
      </c>
      <c r="I26" t="s">
        <v>20</v>
      </c>
      <c r="J26" t="s">
        <v>21</v>
      </c>
      <c r="K26" t="s">
        <v>39</v>
      </c>
      <c r="L26" s="1">
        <v>21745</v>
      </c>
      <c r="M26">
        <v>47055.53</v>
      </c>
      <c r="N26" t="s">
        <v>29</v>
      </c>
      <c r="O26" t="s">
        <v>23</v>
      </c>
      <c r="P26" t="s">
        <v>25</v>
      </c>
      <c r="Q26">
        <v>63</v>
      </c>
    </row>
    <row r="27" spans="1:17" x14ac:dyDescent="0.3">
      <c r="A27" t="s">
        <v>82</v>
      </c>
      <c r="B27" t="s">
        <v>83</v>
      </c>
      <c r="C27">
        <v>33.880000000000003</v>
      </c>
      <c r="D27">
        <v>7.01</v>
      </c>
      <c r="E27" t="s">
        <v>19</v>
      </c>
      <c r="F27" t="s">
        <v>19</v>
      </c>
      <c r="G27" t="s">
        <v>19</v>
      </c>
      <c r="H27">
        <v>3</v>
      </c>
      <c r="I27" t="s">
        <v>20</v>
      </c>
      <c r="J27" t="s">
        <v>21</v>
      </c>
      <c r="K27" t="s">
        <v>22</v>
      </c>
      <c r="L27" s="1">
        <v>21443</v>
      </c>
      <c r="M27">
        <v>46889.26</v>
      </c>
      <c r="N27" t="s">
        <v>29</v>
      </c>
      <c r="O27" t="s">
        <v>24</v>
      </c>
      <c r="P27" t="s">
        <v>25</v>
      </c>
      <c r="Q27">
        <v>64</v>
      </c>
    </row>
    <row r="28" spans="1:17" x14ac:dyDescent="0.3">
      <c r="A28" t="s">
        <v>84</v>
      </c>
      <c r="B28" t="s">
        <v>85</v>
      </c>
      <c r="C28">
        <v>30.875</v>
      </c>
      <c r="D28">
        <v>11.88</v>
      </c>
      <c r="E28" t="s">
        <v>19</v>
      </c>
      <c r="F28" t="s">
        <v>19</v>
      </c>
      <c r="G28" t="s">
        <v>19</v>
      </c>
      <c r="H28">
        <v>0</v>
      </c>
      <c r="I28" t="s">
        <v>20</v>
      </c>
      <c r="J28" t="s">
        <v>21</v>
      </c>
      <c r="K28" t="s">
        <v>22</v>
      </c>
      <c r="L28" s="1">
        <v>22237</v>
      </c>
      <c r="M28">
        <v>46718.16</v>
      </c>
      <c r="N28" t="s">
        <v>23</v>
      </c>
      <c r="O28" t="s">
        <v>23</v>
      </c>
      <c r="P28" t="s">
        <v>33</v>
      </c>
      <c r="Q28">
        <v>62</v>
      </c>
    </row>
    <row r="29" spans="1:17" x14ac:dyDescent="0.3">
      <c r="A29" t="s">
        <v>86</v>
      </c>
      <c r="B29" t="s">
        <v>87</v>
      </c>
      <c r="C29">
        <v>36.86</v>
      </c>
      <c r="D29">
        <v>5.19</v>
      </c>
      <c r="E29" t="s">
        <v>32</v>
      </c>
      <c r="F29" t="s">
        <v>19</v>
      </c>
      <c r="G29" t="s">
        <v>20</v>
      </c>
      <c r="H29">
        <v>1</v>
      </c>
      <c r="I29" t="s">
        <v>20</v>
      </c>
      <c r="J29" t="s">
        <v>21</v>
      </c>
      <c r="K29" t="s">
        <v>39</v>
      </c>
      <c r="L29" s="1">
        <v>25377</v>
      </c>
      <c r="M29">
        <v>46661.440000000002</v>
      </c>
      <c r="N29" t="s">
        <v>23</v>
      </c>
      <c r="O29" t="s">
        <v>24</v>
      </c>
      <c r="P29" t="s">
        <v>33</v>
      </c>
      <c r="Q29">
        <v>53</v>
      </c>
    </row>
    <row r="30" spans="1:17" x14ac:dyDescent="0.3">
      <c r="A30" t="s">
        <v>88</v>
      </c>
      <c r="B30" t="s">
        <v>89</v>
      </c>
      <c r="C30">
        <v>35.86</v>
      </c>
      <c r="D30">
        <v>6.74</v>
      </c>
      <c r="E30" t="s">
        <v>32</v>
      </c>
      <c r="F30" t="s">
        <v>19</v>
      </c>
      <c r="G30" t="s">
        <v>19</v>
      </c>
      <c r="H30">
        <v>2</v>
      </c>
      <c r="I30" t="s">
        <v>20</v>
      </c>
      <c r="J30" t="s">
        <v>21</v>
      </c>
      <c r="K30" t="s">
        <v>22</v>
      </c>
      <c r="L30" s="1">
        <v>22501</v>
      </c>
      <c r="M30">
        <v>46599.11</v>
      </c>
      <c r="N30" t="s">
        <v>23</v>
      </c>
      <c r="O30" t="s">
        <v>23</v>
      </c>
      <c r="P30" t="s">
        <v>25</v>
      </c>
      <c r="Q30">
        <v>61</v>
      </c>
    </row>
    <row r="31" spans="1:17" x14ac:dyDescent="0.3">
      <c r="A31" t="s">
        <v>90</v>
      </c>
      <c r="B31" t="s">
        <v>91</v>
      </c>
      <c r="C31">
        <v>37.049999999999997</v>
      </c>
      <c r="D31">
        <v>8.44</v>
      </c>
      <c r="E31" t="s">
        <v>19</v>
      </c>
      <c r="F31" t="s">
        <v>19</v>
      </c>
      <c r="G31" t="s">
        <v>19</v>
      </c>
      <c r="H31">
        <v>0</v>
      </c>
      <c r="I31" t="s">
        <v>20</v>
      </c>
      <c r="J31" t="s">
        <v>21</v>
      </c>
      <c r="K31" t="s">
        <v>22</v>
      </c>
      <c r="L31" s="1">
        <v>26273</v>
      </c>
      <c r="M31">
        <v>46255.11</v>
      </c>
      <c r="N31" t="s">
        <v>23</v>
      </c>
      <c r="O31" t="s">
        <v>24</v>
      </c>
      <c r="P31" t="s">
        <v>36</v>
      </c>
      <c r="Q31">
        <v>51</v>
      </c>
    </row>
    <row r="32" spans="1:17" x14ac:dyDescent="0.3">
      <c r="A32" t="s">
        <v>92</v>
      </c>
      <c r="B32" t="s">
        <v>93</v>
      </c>
      <c r="C32">
        <v>43.89</v>
      </c>
      <c r="D32">
        <v>8.7100000000000009</v>
      </c>
      <c r="E32" t="s">
        <v>19</v>
      </c>
      <c r="F32" t="s">
        <v>19</v>
      </c>
      <c r="G32" t="s">
        <v>19</v>
      </c>
      <c r="H32">
        <v>0</v>
      </c>
      <c r="I32" t="s">
        <v>20</v>
      </c>
      <c r="J32" t="s">
        <v>21</v>
      </c>
      <c r="K32" t="s">
        <v>22</v>
      </c>
      <c r="L32" s="1">
        <v>28719</v>
      </c>
      <c r="M32">
        <v>46200.99</v>
      </c>
      <c r="N32" t="s">
        <v>23</v>
      </c>
      <c r="O32" t="s">
        <v>23</v>
      </c>
      <c r="P32" t="s">
        <v>25</v>
      </c>
      <c r="Q32">
        <v>44</v>
      </c>
    </row>
    <row r="33" spans="1:17" x14ac:dyDescent="0.3">
      <c r="A33" t="s">
        <v>94</v>
      </c>
      <c r="B33" t="s">
        <v>95</v>
      </c>
      <c r="C33">
        <v>42.35</v>
      </c>
      <c r="D33">
        <v>5.08</v>
      </c>
      <c r="E33" t="s">
        <v>32</v>
      </c>
      <c r="F33" t="s">
        <v>19</v>
      </c>
      <c r="G33" t="s">
        <v>19</v>
      </c>
      <c r="H33">
        <v>0</v>
      </c>
      <c r="I33" t="s">
        <v>20</v>
      </c>
      <c r="J33" t="s">
        <v>21</v>
      </c>
      <c r="K33" t="s">
        <v>39</v>
      </c>
      <c r="L33" s="1">
        <v>28096</v>
      </c>
      <c r="M33">
        <v>46151.12</v>
      </c>
      <c r="N33" t="s">
        <v>23</v>
      </c>
      <c r="O33" t="s">
        <v>24</v>
      </c>
      <c r="P33" t="s">
        <v>25</v>
      </c>
      <c r="Q33">
        <v>46</v>
      </c>
    </row>
    <row r="34" spans="1:17" x14ac:dyDescent="0.3">
      <c r="A34" t="s">
        <v>96</v>
      </c>
      <c r="B34" t="s">
        <v>97</v>
      </c>
      <c r="C34">
        <v>31.35</v>
      </c>
      <c r="D34">
        <v>6.86</v>
      </c>
      <c r="E34" t="s">
        <v>19</v>
      </c>
      <c r="F34" t="s">
        <v>19</v>
      </c>
      <c r="G34" t="s">
        <v>19</v>
      </c>
      <c r="H34">
        <v>0</v>
      </c>
      <c r="I34" t="s">
        <v>20</v>
      </c>
      <c r="J34" t="s">
        <v>21</v>
      </c>
      <c r="K34" t="s">
        <v>22</v>
      </c>
      <c r="L34" s="1">
        <v>22984</v>
      </c>
      <c r="M34">
        <v>46130.53</v>
      </c>
      <c r="N34" t="s">
        <v>23</v>
      </c>
      <c r="O34" t="s">
        <v>23</v>
      </c>
      <c r="P34" t="s">
        <v>33</v>
      </c>
      <c r="Q34">
        <v>60</v>
      </c>
    </row>
    <row r="35" spans="1:17" x14ac:dyDescent="0.3">
      <c r="A35" t="s">
        <v>98</v>
      </c>
      <c r="B35" t="s">
        <v>99</v>
      </c>
      <c r="C35">
        <v>47.6</v>
      </c>
      <c r="D35">
        <v>5.95</v>
      </c>
      <c r="E35" t="s">
        <v>32</v>
      </c>
      <c r="F35" t="s">
        <v>19</v>
      </c>
      <c r="G35" t="s">
        <v>19</v>
      </c>
      <c r="H35">
        <v>0</v>
      </c>
      <c r="I35" t="s">
        <v>20</v>
      </c>
      <c r="J35" t="s">
        <v>21</v>
      </c>
      <c r="K35" t="s">
        <v>28</v>
      </c>
      <c r="L35" s="1">
        <v>31320</v>
      </c>
      <c r="M35">
        <v>46113.51</v>
      </c>
      <c r="N35" t="s">
        <v>29</v>
      </c>
      <c r="O35" t="s">
        <v>24</v>
      </c>
      <c r="P35" t="s">
        <v>42</v>
      </c>
      <c r="Q35">
        <v>37</v>
      </c>
    </row>
    <row r="36" spans="1:17" x14ac:dyDescent="0.3">
      <c r="A36" t="s">
        <v>100</v>
      </c>
      <c r="B36" t="s">
        <v>101</v>
      </c>
      <c r="C36">
        <v>46.2</v>
      </c>
      <c r="D36">
        <v>6.09</v>
      </c>
      <c r="E36" t="s">
        <v>19</v>
      </c>
      <c r="F36" t="s">
        <v>19</v>
      </c>
      <c r="G36" t="s">
        <v>20</v>
      </c>
      <c r="H36">
        <v>1</v>
      </c>
      <c r="I36" t="s">
        <v>20</v>
      </c>
      <c r="J36" t="s">
        <v>21</v>
      </c>
      <c r="K36" t="s">
        <v>28</v>
      </c>
      <c r="L36" s="1">
        <v>29079</v>
      </c>
      <c r="M36">
        <v>45863.21</v>
      </c>
      <c r="N36" t="s">
        <v>29</v>
      </c>
      <c r="O36" t="s">
        <v>23</v>
      </c>
      <c r="P36" t="s">
        <v>25</v>
      </c>
      <c r="Q36">
        <v>43</v>
      </c>
    </row>
    <row r="37" spans="1:17" x14ac:dyDescent="0.3">
      <c r="A37" t="s">
        <v>102</v>
      </c>
      <c r="B37" t="s">
        <v>103</v>
      </c>
      <c r="C37">
        <v>32.015000000000001</v>
      </c>
      <c r="D37">
        <v>11.75</v>
      </c>
      <c r="E37" t="s">
        <v>19</v>
      </c>
      <c r="F37" t="s">
        <v>19</v>
      </c>
      <c r="G37" t="s">
        <v>19</v>
      </c>
      <c r="H37">
        <v>0</v>
      </c>
      <c r="I37" t="s">
        <v>20</v>
      </c>
      <c r="J37" t="s">
        <v>21</v>
      </c>
      <c r="K37" t="s">
        <v>22</v>
      </c>
      <c r="L37" s="1">
        <v>22271</v>
      </c>
      <c r="M37">
        <v>45710.21</v>
      </c>
      <c r="N37" t="s">
        <v>29</v>
      </c>
      <c r="O37" t="s">
        <v>29</v>
      </c>
      <c r="P37" t="s">
        <v>59</v>
      </c>
      <c r="Q37">
        <v>62</v>
      </c>
    </row>
    <row r="38" spans="1:17" x14ac:dyDescent="0.3">
      <c r="A38" t="s">
        <v>104</v>
      </c>
      <c r="B38" t="s">
        <v>105</v>
      </c>
      <c r="C38">
        <v>40.564999999999998</v>
      </c>
      <c r="D38">
        <v>7.37</v>
      </c>
      <c r="E38" t="s">
        <v>19</v>
      </c>
      <c r="F38" t="s">
        <v>19</v>
      </c>
      <c r="G38" t="s">
        <v>19</v>
      </c>
      <c r="H38">
        <v>0</v>
      </c>
      <c r="I38" t="s">
        <v>20</v>
      </c>
      <c r="J38" t="s">
        <v>21</v>
      </c>
      <c r="K38" t="s">
        <v>22</v>
      </c>
      <c r="L38" s="1">
        <v>27250</v>
      </c>
      <c r="M38">
        <v>45702.02</v>
      </c>
      <c r="N38" t="s">
        <v>29</v>
      </c>
      <c r="O38" t="s">
        <v>29</v>
      </c>
      <c r="P38" t="s">
        <v>33</v>
      </c>
      <c r="Q38">
        <v>48</v>
      </c>
    </row>
    <row r="39" spans="1:17" x14ac:dyDescent="0.3">
      <c r="A39" t="s">
        <v>106</v>
      </c>
      <c r="B39" t="s">
        <v>107</v>
      </c>
      <c r="C39">
        <v>32.450000000000003</v>
      </c>
      <c r="D39">
        <v>11.91</v>
      </c>
      <c r="E39" t="s">
        <v>19</v>
      </c>
      <c r="F39" t="s">
        <v>19</v>
      </c>
      <c r="G39" t="s">
        <v>19</v>
      </c>
      <c r="H39">
        <v>0</v>
      </c>
      <c r="I39" t="s">
        <v>20</v>
      </c>
      <c r="J39" t="s">
        <v>21</v>
      </c>
      <c r="K39" t="s">
        <v>22</v>
      </c>
      <c r="L39" s="1">
        <v>22997</v>
      </c>
      <c r="M39">
        <v>45008.959999999999</v>
      </c>
      <c r="N39" t="s">
        <v>29</v>
      </c>
      <c r="O39" t="s">
        <v>29</v>
      </c>
      <c r="P39" t="s">
        <v>25</v>
      </c>
      <c r="Q39">
        <v>60</v>
      </c>
    </row>
    <row r="40" spans="1:17" x14ac:dyDescent="0.3">
      <c r="A40" t="s">
        <v>108</v>
      </c>
      <c r="B40" t="s">
        <v>109</v>
      </c>
      <c r="C40">
        <v>34.96</v>
      </c>
      <c r="D40">
        <v>6.52</v>
      </c>
      <c r="E40" t="s">
        <v>19</v>
      </c>
      <c r="F40" t="s">
        <v>19</v>
      </c>
      <c r="G40" t="s">
        <v>19</v>
      </c>
      <c r="H40">
        <v>0</v>
      </c>
      <c r="I40" t="s">
        <v>20</v>
      </c>
      <c r="J40" t="s">
        <v>21</v>
      </c>
      <c r="K40" t="s">
        <v>22</v>
      </c>
      <c r="L40" s="1">
        <v>26158</v>
      </c>
      <c r="M40">
        <v>44641.2</v>
      </c>
      <c r="N40" t="s">
        <v>29</v>
      </c>
      <c r="O40" t="s">
        <v>24</v>
      </c>
      <c r="P40" t="s">
        <v>36</v>
      </c>
      <c r="Q40">
        <v>51</v>
      </c>
    </row>
    <row r="41" spans="1:17" x14ac:dyDescent="0.3">
      <c r="A41" t="s">
        <v>110</v>
      </c>
      <c r="B41" t="s">
        <v>111</v>
      </c>
      <c r="C41">
        <v>35.5</v>
      </c>
      <c r="D41">
        <v>5.14</v>
      </c>
      <c r="E41" t="s">
        <v>19</v>
      </c>
      <c r="F41" t="s">
        <v>19</v>
      </c>
      <c r="G41" t="s">
        <v>20</v>
      </c>
      <c r="H41">
        <v>1</v>
      </c>
      <c r="I41" t="s">
        <v>20</v>
      </c>
      <c r="J41" t="s">
        <v>21</v>
      </c>
      <c r="K41" t="s">
        <v>39</v>
      </c>
      <c r="L41" s="1">
        <v>34253</v>
      </c>
      <c r="M41">
        <v>44585.46</v>
      </c>
      <c r="N41" t="s">
        <v>29</v>
      </c>
      <c r="O41" t="s">
        <v>29</v>
      </c>
      <c r="P41" t="s">
        <v>42</v>
      </c>
      <c r="Q41">
        <v>29</v>
      </c>
    </row>
    <row r="42" spans="1:17" x14ac:dyDescent="0.3">
      <c r="A42" t="s">
        <v>112</v>
      </c>
      <c r="B42" t="s">
        <v>113</v>
      </c>
      <c r="C42">
        <v>52.58</v>
      </c>
      <c r="D42">
        <v>4.1900000000000004</v>
      </c>
      <c r="E42" t="s">
        <v>19</v>
      </c>
      <c r="F42" t="s">
        <v>32</v>
      </c>
      <c r="G42" t="s">
        <v>19</v>
      </c>
      <c r="H42">
        <v>1</v>
      </c>
      <c r="I42" t="s">
        <v>20</v>
      </c>
      <c r="J42" t="s">
        <v>21</v>
      </c>
      <c r="K42" t="s">
        <v>39</v>
      </c>
      <c r="L42" s="1">
        <v>36740</v>
      </c>
      <c r="M42">
        <v>44501.4</v>
      </c>
      <c r="N42" t="s">
        <v>29</v>
      </c>
      <c r="O42" t="s">
        <v>24</v>
      </c>
      <c r="P42" t="s">
        <v>25</v>
      </c>
      <c r="Q42">
        <v>22</v>
      </c>
    </row>
    <row r="43" spans="1:17" x14ac:dyDescent="0.3">
      <c r="A43" t="s">
        <v>114</v>
      </c>
      <c r="B43" t="s">
        <v>115</v>
      </c>
      <c r="C43">
        <v>35.200000000000003</v>
      </c>
      <c r="D43">
        <v>11.68</v>
      </c>
      <c r="E43" t="s">
        <v>32</v>
      </c>
      <c r="F43" t="s">
        <v>19</v>
      </c>
      <c r="G43" t="s">
        <v>19</v>
      </c>
      <c r="H43">
        <v>0</v>
      </c>
      <c r="I43" t="s">
        <v>20</v>
      </c>
      <c r="J43" t="s">
        <v>21</v>
      </c>
      <c r="K43" t="s">
        <v>22</v>
      </c>
      <c r="L43" s="1">
        <v>24729</v>
      </c>
      <c r="M43">
        <v>44423.8</v>
      </c>
      <c r="N43" t="s">
        <v>29</v>
      </c>
      <c r="O43" t="s">
        <v>24</v>
      </c>
      <c r="P43" t="s">
        <v>25</v>
      </c>
      <c r="Q43">
        <v>55</v>
      </c>
    </row>
    <row r="44" spans="1:17" x14ac:dyDescent="0.3">
      <c r="A44" t="s">
        <v>116</v>
      </c>
      <c r="B44" t="s">
        <v>117</v>
      </c>
      <c r="C44">
        <v>38.06</v>
      </c>
      <c r="D44">
        <v>6.98</v>
      </c>
      <c r="E44" t="s">
        <v>19</v>
      </c>
      <c r="F44" t="s">
        <v>19</v>
      </c>
      <c r="G44" t="s">
        <v>19</v>
      </c>
      <c r="H44">
        <v>0</v>
      </c>
      <c r="I44" t="s">
        <v>20</v>
      </c>
      <c r="J44" t="s">
        <v>21</v>
      </c>
      <c r="K44" t="s">
        <v>22</v>
      </c>
      <c r="L44" s="1">
        <v>26235</v>
      </c>
      <c r="M44">
        <v>44400.41</v>
      </c>
      <c r="N44" t="s">
        <v>29</v>
      </c>
      <c r="O44" t="s">
        <v>29</v>
      </c>
      <c r="P44" t="s">
        <v>25</v>
      </c>
      <c r="Q44">
        <v>51</v>
      </c>
    </row>
    <row r="45" spans="1:17" x14ac:dyDescent="0.3">
      <c r="A45" t="s">
        <v>118</v>
      </c>
      <c r="B45" t="s">
        <v>119</v>
      </c>
      <c r="C45">
        <v>34.21</v>
      </c>
      <c r="D45">
        <v>8.34</v>
      </c>
      <c r="E45" t="s">
        <v>19</v>
      </c>
      <c r="F45" t="s">
        <v>19</v>
      </c>
      <c r="G45" t="s">
        <v>19</v>
      </c>
      <c r="H45">
        <v>0</v>
      </c>
      <c r="I45" t="s">
        <v>20</v>
      </c>
      <c r="J45" t="s">
        <v>21</v>
      </c>
      <c r="K45" t="s">
        <v>22</v>
      </c>
      <c r="L45" s="1">
        <v>25166</v>
      </c>
      <c r="M45">
        <v>44260.75</v>
      </c>
      <c r="N45" t="s">
        <v>29</v>
      </c>
      <c r="O45" t="s">
        <v>23</v>
      </c>
      <c r="P45" t="s">
        <v>25</v>
      </c>
      <c r="Q45">
        <v>54</v>
      </c>
    </row>
    <row r="46" spans="1:17" x14ac:dyDescent="0.3">
      <c r="A46" t="s">
        <v>120</v>
      </c>
      <c r="B46" t="s">
        <v>121</v>
      </c>
      <c r="C46">
        <v>38.94</v>
      </c>
      <c r="D46">
        <v>8.49</v>
      </c>
      <c r="E46" t="s">
        <v>32</v>
      </c>
      <c r="F46" t="s">
        <v>19</v>
      </c>
      <c r="G46" t="s">
        <v>19</v>
      </c>
      <c r="H46">
        <v>1</v>
      </c>
      <c r="I46" t="s">
        <v>20</v>
      </c>
      <c r="J46" t="s">
        <v>21</v>
      </c>
      <c r="K46" t="s">
        <v>22</v>
      </c>
      <c r="L46" s="1">
        <v>27546</v>
      </c>
      <c r="M46">
        <v>44202.65</v>
      </c>
      <c r="N46" t="s">
        <v>29</v>
      </c>
      <c r="O46" t="s">
        <v>29</v>
      </c>
      <c r="P46" t="s">
        <v>25</v>
      </c>
      <c r="Q46">
        <v>48</v>
      </c>
    </row>
    <row r="47" spans="1:17" x14ac:dyDescent="0.3">
      <c r="A47" t="s">
        <v>122</v>
      </c>
      <c r="B47" t="s">
        <v>123</v>
      </c>
      <c r="C47">
        <v>30.21</v>
      </c>
      <c r="D47">
        <v>5.34</v>
      </c>
      <c r="E47" t="s">
        <v>32</v>
      </c>
      <c r="F47" t="s">
        <v>19</v>
      </c>
      <c r="G47" t="s">
        <v>19</v>
      </c>
      <c r="H47">
        <v>1</v>
      </c>
      <c r="I47" t="s">
        <v>20</v>
      </c>
      <c r="J47" t="s">
        <v>21</v>
      </c>
      <c r="K47" t="s">
        <v>39</v>
      </c>
      <c r="L47" s="1">
        <v>32340</v>
      </c>
      <c r="M47">
        <v>43943.88</v>
      </c>
      <c r="N47" t="s">
        <v>29</v>
      </c>
      <c r="O47" t="s">
        <v>23</v>
      </c>
      <c r="P47" t="s">
        <v>33</v>
      </c>
      <c r="Q47">
        <v>34</v>
      </c>
    </row>
    <row r="48" spans="1:17" x14ac:dyDescent="0.3">
      <c r="A48" t="s">
        <v>124</v>
      </c>
      <c r="B48" t="s">
        <v>125</v>
      </c>
      <c r="C48">
        <v>33.630000000000003</v>
      </c>
      <c r="D48">
        <v>4.43</v>
      </c>
      <c r="E48" t="s">
        <v>32</v>
      </c>
      <c r="F48" t="s">
        <v>19</v>
      </c>
      <c r="G48" t="s">
        <v>19</v>
      </c>
      <c r="H48">
        <v>2</v>
      </c>
      <c r="I48" t="s">
        <v>20</v>
      </c>
      <c r="J48" t="s">
        <v>21</v>
      </c>
      <c r="K48" t="s">
        <v>39</v>
      </c>
      <c r="L48" s="1">
        <v>24385</v>
      </c>
      <c r="M48">
        <v>43921.18</v>
      </c>
      <c r="N48" t="s">
        <v>29</v>
      </c>
      <c r="O48" t="s">
        <v>29</v>
      </c>
      <c r="P48" t="s">
        <v>33</v>
      </c>
      <c r="Q48">
        <v>56</v>
      </c>
    </row>
    <row r="49" spans="1:17" x14ac:dyDescent="0.3">
      <c r="A49" t="s">
        <v>126</v>
      </c>
      <c r="B49" t="s">
        <v>115</v>
      </c>
      <c r="C49">
        <v>40.369999999999997</v>
      </c>
      <c r="D49">
        <v>4.47</v>
      </c>
      <c r="E49" t="s">
        <v>19</v>
      </c>
      <c r="F49" t="s">
        <v>19</v>
      </c>
      <c r="G49" t="s">
        <v>19</v>
      </c>
      <c r="H49">
        <v>0</v>
      </c>
      <c r="I49" t="s">
        <v>20</v>
      </c>
      <c r="J49" t="s">
        <v>21</v>
      </c>
      <c r="K49" t="s">
        <v>39</v>
      </c>
      <c r="L49" s="1">
        <v>29535</v>
      </c>
      <c r="M49">
        <v>43896.38</v>
      </c>
      <c r="N49" t="s">
        <v>29</v>
      </c>
      <c r="O49" t="s">
        <v>23</v>
      </c>
      <c r="P49" t="s">
        <v>25</v>
      </c>
      <c r="Q49">
        <v>42</v>
      </c>
    </row>
    <row r="50" spans="1:17" x14ac:dyDescent="0.3">
      <c r="A50" t="s">
        <v>127</v>
      </c>
      <c r="B50" t="s">
        <v>128</v>
      </c>
      <c r="C50">
        <v>53.09</v>
      </c>
      <c r="D50">
        <v>4.82</v>
      </c>
      <c r="E50" t="s">
        <v>32</v>
      </c>
      <c r="F50" t="s">
        <v>19</v>
      </c>
      <c r="G50" t="s">
        <v>19</v>
      </c>
      <c r="H50">
        <v>2</v>
      </c>
      <c r="I50" t="s">
        <v>20</v>
      </c>
      <c r="J50" t="s">
        <v>21</v>
      </c>
      <c r="K50" t="s">
        <v>39</v>
      </c>
      <c r="L50" s="1">
        <v>24290</v>
      </c>
      <c r="M50">
        <v>43817.45</v>
      </c>
      <c r="N50" t="s">
        <v>29</v>
      </c>
      <c r="O50" t="s">
        <v>24</v>
      </c>
      <c r="P50" t="s">
        <v>33</v>
      </c>
      <c r="Q50">
        <v>56</v>
      </c>
    </row>
    <row r="51" spans="1:17" x14ac:dyDescent="0.3">
      <c r="A51" t="s">
        <v>129</v>
      </c>
      <c r="B51" t="s">
        <v>130</v>
      </c>
      <c r="C51">
        <v>31.79</v>
      </c>
      <c r="D51">
        <v>5.51</v>
      </c>
      <c r="E51" t="s">
        <v>32</v>
      </c>
      <c r="F51" t="s">
        <v>19</v>
      </c>
      <c r="G51" t="s">
        <v>19</v>
      </c>
      <c r="H51">
        <v>2</v>
      </c>
      <c r="I51" t="s">
        <v>20</v>
      </c>
      <c r="J51" t="s">
        <v>21</v>
      </c>
      <c r="K51" t="s">
        <v>39</v>
      </c>
      <c r="L51" s="1">
        <v>24405</v>
      </c>
      <c r="M51">
        <v>43813.87</v>
      </c>
      <c r="N51" t="s">
        <v>29</v>
      </c>
      <c r="O51" t="s">
        <v>29</v>
      </c>
      <c r="P51" t="s">
        <v>25</v>
      </c>
      <c r="Q51">
        <v>56</v>
      </c>
    </row>
    <row r="52" spans="1:17" x14ac:dyDescent="0.3">
      <c r="A52" t="s">
        <v>131</v>
      </c>
      <c r="B52" t="s">
        <v>132</v>
      </c>
      <c r="C52">
        <v>41.895000000000003</v>
      </c>
      <c r="D52">
        <v>10.87</v>
      </c>
      <c r="E52" t="s">
        <v>32</v>
      </c>
      <c r="F52" t="s">
        <v>19</v>
      </c>
      <c r="G52" t="s">
        <v>19</v>
      </c>
      <c r="H52">
        <v>1</v>
      </c>
      <c r="I52" t="s">
        <v>20</v>
      </c>
      <c r="J52" t="s">
        <v>21</v>
      </c>
      <c r="K52" t="s">
        <v>22</v>
      </c>
      <c r="L52" s="1">
        <v>31775</v>
      </c>
      <c r="M52">
        <v>43753.34</v>
      </c>
      <c r="N52" t="s">
        <v>29</v>
      </c>
      <c r="O52" t="s">
        <v>23</v>
      </c>
      <c r="P52" t="s">
        <v>133</v>
      </c>
      <c r="Q52">
        <v>36</v>
      </c>
    </row>
    <row r="53" spans="1:17" x14ac:dyDescent="0.3">
      <c r="A53" t="s">
        <v>134</v>
      </c>
      <c r="B53" t="s">
        <v>135</v>
      </c>
      <c r="C53">
        <v>31.16</v>
      </c>
      <c r="D53">
        <v>9.34</v>
      </c>
      <c r="E53" t="s">
        <v>19</v>
      </c>
      <c r="F53" t="s">
        <v>19</v>
      </c>
      <c r="G53" t="s">
        <v>19</v>
      </c>
      <c r="H53">
        <v>0</v>
      </c>
      <c r="I53" t="s">
        <v>20</v>
      </c>
      <c r="J53" t="s">
        <v>21</v>
      </c>
      <c r="K53" t="s">
        <v>22</v>
      </c>
      <c r="L53" s="1">
        <v>23976</v>
      </c>
      <c r="M53">
        <v>43578.94</v>
      </c>
      <c r="N53" t="s">
        <v>29</v>
      </c>
      <c r="O53" t="s">
        <v>29</v>
      </c>
      <c r="P53" t="s">
        <v>33</v>
      </c>
      <c r="Q53">
        <v>57</v>
      </c>
    </row>
    <row r="54" spans="1:17" x14ac:dyDescent="0.3">
      <c r="A54" t="s">
        <v>136</v>
      </c>
      <c r="B54" t="s">
        <v>137</v>
      </c>
      <c r="C54">
        <v>34.104999999999997</v>
      </c>
      <c r="D54">
        <v>5.03</v>
      </c>
      <c r="E54" t="s">
        <v>32</v>
      </c>
      <c r="F54" t="s">
        <v>19</v>
      </c>
      <c r="G54" t="s">
        <v>20</v>
      </c>
      <c r="H54">
        <v>1</v>
      </c>
      <c r="I54" t="s">
        <v>20</v>
      </c>
      <c r="J54" t="s">
        <v>21</v>
      </c>
      <c r="K54" t="s">
        <v>39</v>
      </c>
      <c r="L54" s="1">
        <v>25540</v>
      </c>
      <c r="M54">
        <v>43254.42</v>
      </c>
      <c r="N54" t="s">
        <v>29</v>
      </c>
      <c r="O54" t="s">
        <v>29</v>
      </c>
      <c r="P54" t="s">
        <v>59</v>
      </c>
      <c r="Q54">
        <v>53</v>
      </c>
    </row>
    <row r="55" spans="1:17" x14ac:dyDescent="0.3">
      <c r="A55" t="s">
        <v>138</v>
      </c>
      <c r="B55" t="s">
        <v>139</v>
      </c>
      <c r="C55">
        <v>51.93</v>
      </c>
      <c r="D55">
        <v>11.05</v>
      </c>
      <c r="E55" t="s">
        <v>19</v>
      </c>
      <c r="F55" t="s">
        <v>19</v>
      </c>
      <c r="G55" t="s">
        <v>19</v>
      </c>
      <c r="H55">
        <v>0</v>
      </c>
      <c r="I55" t="s">
        <v>20</v>
      </c>
      <c r="J55" t="s">
        <v>21</v>
      </c>
      <c r="K55" t="s">
        <v>22</v>
      </c>
      <c r="L55" s="1">
        <v>24075</v>
      </c>
      <c r="M55">
        <v>43073.760000000002</v>
      </c>
      <c r="N55" t="s">
        <v>29</v>
      </c>
      <c r="O55" t="s">
        <v>29</v>
      </c>
      <c r="P55" t="s">
        <v>42</v>
      </c>
      <c r="Q55">
        <v>57</v>
      </c>
    </row>
    <row r="56" spans="1:17" x14ac:dyDescent="0.3">
      <c r="A56" t="s">
        <v>140</v>
      </c>
      <c r="B56" t="s">
        <v>141</v>
      </c>
      <c r="C56">
        <v>38.950000000000003</v>
      </c>
      <c r="D56">
        <v>11.95</v>
      </c>
      <c r="E56" t="s">
        <v>19</v>
      </c>
      <c r="F56" t="s">
        <v>19</v>
      </c>
      <c r="G56" t="s">
        <v>19</v>
      </c>
      <c r="H56">
        <v>0</v>
      </c>
      <c r="I56" t="s">
        <v>20</v>
      </c>
      <c r="J56" t="s">
        <v>21</v>
      </c>
      <c r="K56" t="s">
        <v>22</v>
      </c>
      <c r="L56" s="1">
        <v>28798</v>
      </c>
      <c r="M56">
        <v>42983.46</v>
      </c>
      <c r="N56" t="s">
        <v>23</v>
      </c>
      <c r="O56" t="s">
        <v>29</v>
      </c>
      <c r="P56" t="s">
        <v>33</v>
      </c>
      <c r="Q56">
        <v>44</v>
      </c>
    </row>
    <row r="57" spans="1:17" x14ac:dyDescent="0.3">
      <c r="A57" t="s">
        <v>142</v>
      </c>
      <c r="B57" t="s">
        <v>143</v>
      </c>
      <c r="C57">
        <v>36.630000000000003</v>
      </c>
      <c r="D57">
        <v>7.72</v>
      </c>
      <c r="E57" t="s">
        <v>32</v>
      </c>
      <c r="F57" t="s">
        <v>19</v>
      </c>
      <c r="G57" t="s">
        <v>19</v>
      </c>
      <c r="H57">
        <v>1</v>
      </c>
      <c r="I57" t="s">
        <v>20</v>
      </c>
      <c r="J57" t="s">
        <v>21</v>
      </c>
      <c r="K57" t="s">
        <v>22</v>
      </c>
      <c r="L57" s="1">
        <v>27690</v>
      </c>
      <c r="M57">
        <v>42969.85</v>
      </c>
      <c r="N57" t="s">
        <v>23</v>
      </c>
      <c r="O57" t="s">
        <v>24</v>
      </c>
      <c r="P57" t="s">
        <v>25</v>
      </c>
      <c r="Q57">
        <v>47</v>
      </c>
    </row>
    <row r="58" spans="1:17" x14ac:dyDescent="0.3">
      <c r="A58" t="s">
        <v>144</v>
      </c>
      <c r="B58" t="s">
        <v>145</v>
      </c>
      <c r="C58">
        <v>34.200000000000003</v>
      </c>
      <c r="D58">
        <v>5.75</v>
      </c>
      <c r="E58" t="s">
        <v>19</v>
      </c>
      <c r="F58" t="s">
        <v>19</v>
      </c>
      <c r="G58" t="s">
        <v>19</v>
      </c>
      <c r="H58">
        <v>2</v>
      </c>
      <c r="I58" t="s">
        <v>20</v>
      </c>
      <c r="J58" t="s">
        <v>21</v>
      </c>
      <c r="K58" t="s">
        <v>28</v>
      </c>
      <c r="L58" s="1">
        <v>26552</v>
      </c>
      <c r="M58">
        <v>42856.84</v>
      </c>
      <c r="N58" t="s">
        <v>23</v>
      </c>
      <c r="O58" t="s">
        <v>23</v>
      </c>
      <c r="P58" t="s">
        <v>42</v>
      </c>
      <c r="Q58">
        <v>50</v>
      </c>
    </row>
    <row r="59" spans="1:17" x14ac:dyDescent="0.3">
      <c r="A59" t="s">
        <v>146</v>
      </c>
      <c r="B59" t="s">
        <v>147</v>
      </c>
      <c r="C59">
        <v>50.63</v>
      </c>
      <c r="D59">
        <v>11.89</v>
      </c>
      <c r="E59" t="s">
        <v>19</v>
      </c>
      <c r="F59" t="s">
        <v>19</v>
      </c>
      <c r="G59" t="s">
        <v>19</v>
      </c>
      <c r="H59">
        <v>0</v>
      </c>
      <c r="I59" t="s">
        <v>20</v>
      </c>
      <c r="J59" t="s">
        <v>21</v>
      </c>
      <c r="K59" t="s">
        <v>22</v>
      </c>
      <c r="L59" s="1">
        <v>24044</v>
      </c>
      <c r="M59">
        <v>42764.12</v>
      </c>
      <c r="N59" t="s">
        <v>23</v>
      </c>
      <c r="O59" t="s">
        <v>29</v>
      </c>
      <c r="P59" t="s">
        <v>42</v>
      </c>
      <c r="Q59">
        <v>57</v>
      </c>
    </row>
    <row r="60" spans="1:17" x14ac:dyDescent="0.3">
      <c r="A60" t="s">
        <v>148</v>
      </c>
      <c r="B60" t="s">
        <v>149</v>
      </c>
      <c r="C60">
        <v>36.479999999999997</v>
      </c>
      <c r="D60">
        <v>6.2</v>
      </c>
      <c r="E60" t="s">
        <v>19</v>
      </c>
      <c r="F60" t="s">
        <v>19</v>
      </c>
      <c r="G60" t="s">
        <v>19</v>
      </c>
      <c r="H60">
        <v>0</v>
      </c>
      <c r="I60" t="s">
        <v>20</v>
      </c>
      <c r="J60" t="s">
        <v>21</v>
      </c>
      <c r="K60" t="s">
        <v>28</v>
      </c>
      <c r="L60" s="1">
        <v>28419</v>
      </c>
      <c r="M60">
        <v>42760.5</v>
      </c>
      <c r="N60" t="s">
        <v>23</v>
      </c>
      <c r="O60" t="s">
        <v>29</v>
      </c>
      <c r="P60" t="s">
        <v>33</v>
      </c>
      <c r="Q60">
        <v>45</v>
      </c>
    </row>
    <row r="61" spans="1:17" x14ac:dyDescent="0.3">
      <c r="A61" t="s">
        <v>150</v>
      </c>
      <c r="B61" t="s">
        <v>151</v>
      </c>
      <c r="C61">
        <v>54.82</v>
      </c>
      <c r="D61">
        <v>10.61</v>
      </c>
      <c r="E61" t="s">
        <v>19</v>
      </c>
      <c r="F61" t="s">
        <v>19</v>
      </c>
      <c r="G61" t="s">
        <v>19</v>
      </c>
      <c r="H61">
        <v>0</v>
      </c>
      <c r="I61" t="s">
        <v>20</v>
      </c>
      <c r="J61" t="s">
        <v>21</v>
      </c>
      <c r="K61" t="s">
        <v>22</v>
      </c>
      <c r="L61" s="1">
        <v>26240</v>
      </c>
      <c r="M61">
        <v>42644.2</v>
      </c>
      <c r="N61" t="s">
        <v>23</v>
      </c>
      <c r="O61" t="s">
        <v>24</v>
      </c>
      <c r="P61" t="s">
        <v>42</v>
      </c>
      <c r="Q61">
        <v>51</v>
      </c>
    </row>
    <row r="62" spans="1:17" x14ac:dyDescent="0.3">
      <c r="A62" t="s">
        <v>152</v>
      </c>
      <c r="B62" t="s">
        <v>153</v>
      </c>
      <c r="C62">
        <v>38.06</v>
      </c>
      <c r="D62">
        <v>6.04</v>
      </c>
      <c r="E62" t="s">
        <v>19</v>
      </c>
      <c r="F62" t="s">
        <v>19</v>
      </c>
      <c r="G62" t="s">
        <v>20</v>
      </c>
      <c r="H62">
        <v>1</v>
      </c>
      <c r="I62" t="s">
        <v>20</v>
      </c>
      <c r="J62" t="s">
        <v>21</v>
      </c>
      <c r="K62" t="s">
        <v>28</v>
      </c>
      <c r="L62" s="1">
        <v>29216</v>
      </c>
      <c r="M62">
        <v>42560.43</v>
      </c>
      <c r="N62" t="s">
        <v>23</v>
      </c>
      <c r="O62" t="s">
        <v>24</v>
      </c>
      <c r="P62" t="s">
        <v>25</v>
      </c>
      <c r="Q62">
        <v>43</v>
      </c>
    </row>
    <row r="63" spans="1:17" x14ac:dyDescent="0.3">
      <c r="A63" t="s">
        <v>154</v>
      </c>
      <c r="B63" t="s">
        <v>155</v>
      </c>
      <c r="C63">
        <v>51.48</v>
      </c>
      <c r="D63">
        <v>9.33</v>
      </c>
      <c r="E63" t="s">
        <v>32</v>
      </c>
      <c r="F63" t="s">
        <v>19</v>
      </c>
      <c r="G63" t="s">
        <v>19</v>
      </c>
      <c r="H63">
        <v>0</v>
      </c>
      <c r="I63" t="s">
        <v>20</v>
      </c>
      <c r="J63" t="s">
        <v>21</v>
      </c>
      <c r="K63" t="s">
        <v>22</v>
      </c>
      <c r="L63" s="1">
        <v>24650</v>
      </c>
      <c r="M63">
        <v>42538.720000000001</v>
      </c>
      <c r="N63" t="s">
        <v>23</v>
      </c>
      <c r="O63" t="s">
        <v>24</v>
      </c>
      <c r="P63" t="s">
        <v>42</v>
      </c>
      <c r="Q63">
        <v>55</v>
      </c>
    </row>
    <row r="64" spans="1:17" x14ac:dyDescent="0.3">
      <c r="A64" t="s">
        <v>156</v>
      </c>
      <c r="B64" t="s">
        <v>157</v>
      </c>
      <c r="C64">
        <v>52.06</v>
      </c>
      <c r="D64">
        <v>11.47</v>
      </c>
      <c r="E64" t="s">
        <v>19</v>
      </c>
      <c r="F64" t="s">
        <v>19</v>
      </c>
      <c r="G64" t="s">
        <v>19</v>
      </c>
      <c r="H64">
        <v>0</v>
      </c>
      <c r="I64" t="s">
        <v>20</v>
      </c>
      <c r="J64" t="s">
        <v>21</v>
      </c>
      <c r="K64" t="s">
        <v>22</v>
      </c>
      <c r="L64" s="1">
        <v>25053</v>
      </c>
      <c r="M64">
        <v>42478.6</v>
      </c>
      <c r="N64" t="s">
        <v>23</v>
      </c>
      <c r="O64" t="s">
        <v>29</v>
      </c>
      <c r="P64" t="s">
        <v>42</v>
      </c>
      <c r="Q64">
        <v>54</v>
      </c>
    </row>
    <row r="65" spans="1:17" x14ac:dyDescent="0.3">
      <c r="A65" t="s">
        <v>158</v>
      </c>
      <c r="B65" t="s">
        <v>159</v>
      </c>
      <c r="C65">
        <v>30.684999999999999</v>
      </c>
      <c r="D65">
        <v>7.02</v>
      </c>
      <c r="E65" t="s">
        <v>32</v>
      </c>
      <c r="F65" t="s">
        <v>19</v>
      </c>
      <c r="G65" t="s">
        <v>19</v>
      </c>
      <c r="H65">
        <v>0</v>
      </c>
      <c r="I65" t="s">
        <v>20</v>
      </c>
      <c r="J65" t="s">
        <v>21</v>
      </c>
      <c r="K65" t="s">
        <v>22</v>
      </c>
      <c r="L65" s="1">
        <v>24651</v>
      </c>
      <c r="M65">
        <v>42303.69</v>
      </c>
      <c r="N65" t="s">
        <v>23</v>
      </c>
      <c r="O65" t="s">
        <v>29</v>
      </c>
      <c r="P65" t="s">
        <v>59</v>
      </c>
      <c r="Q65">
        <v>55</v>
      </c>
    </row>
    <row r="66" spans="1:17" x14ac:dyDescent="0.3">
      <c r="A66" t="s">
        <v>160</v>
      </c>
      <c r="B66" t="s">
        <v>161</v>
      </c>
      <c r="C66">
        <v>36.08</v>
      </c>
      <c r="D66">
        <v>8.8000000000000007</v>
      </c>
      <c r="E66" t="s">
        <v>32</v>
      </c>
      <c r="F66" t="s">
        <v>19</v>
      </c>
      <c r="G66" t="s">
        <v>19</v>
      </c>
      <c r="H66">
        <v>1</v>
      </c>
      <c r="I66" t="s">
        <v>20</v>
      </c>
      <c r="J66" t="s">
        <v>21</v>
      </c>
      <c r="K66" t="s">
        <v>22</v>
      </c>
      <c r="L66" s="1">
        <v>27621</v>
      </c>
      <c r="M66">
        <v>42211.14</v>
      </c>
      <c r="N66" t="s">
        <v>23</v>
      </c>
      <c r="O66" t="s">
        <v>24</v>
      </c>
      <c r="P66" t="s">
        <v>25</v>
      </c>
      <c r="Q66">
        <v>47</v>
      </c>
    </row>
    <row r="67" spans="1:17" x14ac:dyDescent="0.3">
      <c r="A67" t="s">
        <v>162</v>
      </c>
      <c r="B67" t="s">
        <v>163</v>
      </c>
      <c r="C67">
        <v>54.99</v>
      </c>
      <c r="D67">
        <v>8.68</v>
      </c>
      <c r="E67" t="s">
        <v>19</v>
      </c>
      <c r="F67" t="s">
        <v>19</v>
      </c>
      <c r="G67" t="s">
        <v>19</v>
      </c>
      <c r="H67">
        <v>2</v>
      </c>
      <c r="I67" t="s">
        <v>20</v>
      </c>
      <c r="J67" t="s">
        <v>21</v>
      </c>
      <c r="K67" t="s">
        <v>22</v>
      </c>
      <c r="L67" s="1">
        <v>26925</v>
      </c>
      <c r="M67">
        <v>42188.15</v>
      </c>
      <c r="N67" t="s">
        <v>23</v>
      </c>
      <c r="O67" t="s">
        <v>23</v>
      </c>
      <c r="P67" t="s">
        <v>42</v>
      </c>
      <c r="Q67">
        <v>49</v>
      </c>
    </row>
    <row r="68" spans="1:17" x14ac:dyDescent="0.3">
      <c r="A68" t="s">
        <v>164</v>
      </c>
      <c r="B68" t="s">
        <v>165</v>
      </c>
      <c r="C68">
        <v>35.97</v>
      </c>
      <c r="D68">
        <v>6.12</v>
      </c>
      <c r="E68" t="s">
        <v>19</v>
      </c>
      <c r="F68" t="s">
        <v>19</v>
      </c>
      <c r="G68" t="s">
        <v>20</v>
      </c>
      <c r="H68">
        <v>1</v>
      </c>
      <c r="I68" t="s">
        <v>20</v>
      </c>
      <c r="J68" t="s">
        <v>21</v>
      </c>
      <c r="K68" t="s">
        <v>28</v>
      </c>
      <c r="L68" s="1">
        <v>29039</v>
      </c>
      <c r="M68">
        <v>42124.52</v>
      </c>
      <c r="N68" t="s">
        <v>23</v>
      </c>
      <c r="O68" t="s">
        <v>23</v>
      </c>
      <c r="P68" t="s">
        <v>25</v>
      </c>
      <c r="Q68">
        <v>43</v>
      </c>
    </row>
    <row r="69" spans="1:17" x14ac:dyDescent="0.3">
      <c r="A69" t="s">
        <v>166</v>
      </c>
      <c r="B69" t="s">
        <v>167</v>
      </c>
      <c r="C69">
        <v>45.54</v>
      </c>
      <c r="D69">
        <v>5.4</v>
      </c>
      <c r="E69" t="s">
        <v>32</v>
      </c>
      <c r="F69" t="s">
        <v>19</v>
      </c>
      <c r="G69" t="s">
        <v>20</v>
      </c>
      <c r="H69">
        <v>1</v>
      </c>
      <c r="I69" t="s">
        <v>20</v>
      </c>
      <c r="J69" t="s">
        <v>21</v>
      </c>
      <c r="K69" t="s">
        <v>39</v>
      </c>
      <c r="L69" s="1">
        <v>35773</v>
      </c>
      <c r="M69">
        <v>42112.24</v>
      </c>
      <c r="N69" t="s">
        <v>23</v>
      </c>
      <c r="O69" t="s">
        <v>24</v>
      </c>
      <c r="P69" t="s">
        <v>25</v>
      </c>
      <c r="Q69">
        <v>25</v>
      </c>
    </row>
    <row r="70" spans="1:17" x14ac:dyDescent="0.3">
      <c r="A70" t="s">
        <v>168</v>
      </c>
      <c r="B70" t="s">
        <v>169</v>
      </c>
      <c r="C70">
        <v>35.53</v>
      </c>
      <c r="D70">
        <v>4.3600000000000003</v>
      </c>
      <c r="E70" t="s">
        <v>32</v>
      </c>
      <c r="F70" t="s">
        <v>19</v>
      </c>
      <c r="G70" t="s">
        <v>19</v>
      </c>
      <c r="H70">
        <v>0</v>
      </c>
      <c r="I70" t="s">
        <v>20</v>
      </c>
      <c r="J70" t="s">
        <v>21</v>
      </c>
      <c r="K70" t="s">
        <v>39</v>
      </c>
      <c r="L70" s="1">
        <v>28092</v>
      </c>
      <c r="M70">
        <v>42111.66</v>
      </c>
      <c r="N70" t="s">
        <v>23</v>
      </c>
      <c r="O70" t="s">
        <v>23</v>
      </c>
      <c r="P70" t="s">
        <v>36</v>
      </c>
      <c r="Q70">
        <v>46</v>
      </c>
    </row>
    <row r="71" spans="1:17" x14ac:dyDescent="0.3">
      <c r="A71" t="s">
        <v>170</v>
      </c>
      <c r="B71" t="s">
        <v>171</v>
      </c>
      <c r="C71">
        <v>30.8</v>
      </c>
      <c r="D71">
        <v>9.77</v>
      </c>
      <c r="E71" t="s">
        <v>19</v>
      </c>
      <c r="F71" t="s">
        <v>19</v>
      </c>
      <c r="G71" t="s">
        <v>19</v>
      </c>
      <c r="H71">
        <v>0</v>
      </c>
      <c r="I71" t="s">
        <v>20</v>
      </c>
      <c r="J71" t="s">
        <v>21</v>
      </c>
      <c r="K71" t="s">
        <v>22</v>
      </c>
      <c r="L71" s="1">
        <v>25191</v>
      </c>
      <c r="M71">
        <v>41999.519999999997</v>
      </c>
      <c r="N71" t="s">
        <v>23</v>
      </c>
      <c r="O71" t="s">
        <v>24</v>
      </c>
      <c r="P71" t="s">
        <v>25</v>
      </c>
      <c r="Q71">
        <v>54</v>
      </c>
    </row>
    <row r="72" spans="1:17" x14ac:dyDescent="0.3">
      <c r="A72" t="s">
        <v>172</v>
      </c>
      <c r="B72" t="s">
        <v>173</v>
      </c>
      <c r="C72">
        <v>38.39</v>
      </c>
      <c r="D72">
        <v>4.25</v>
      </c>
      <c r="E72" t="s">
        <v>19</v>
      </c>
      <c r="F72" t="s">
        <v>19</v>
      </c>
      <c r="G72" t="s">
        <v>19</v>
      </c>
      <c r="H72">
        <v>1</v>
      </c>
      <c r="I72" t="s">
        <v>20</v>
      </c>
      <c r="J72" t="s">
        <v>21</v>
      </c>
      <c r="K72" t="s">
        <v>39</v>
      </c>
      <c r="L72" s="1">
        <v>30996</v>
      </c>
      <c r="M72">
        <v>41949.24</v>
      </c>
      <c r="N72" t="s">
        <v>23</v>
      </c>
      <c r="O72" t="s">
        <v>23</v>
      </c>
      <c r="P72" t="s">
        <v>25</v>
      </c>
      <c r="Q72">
        <v>38</v>
      </c>
    </row>
    <row r="73" spans="1:17" x14ac:dyDescent="0.3">
      <c r="A73" t="s">
        <v>174</v>
      </c>
      <c r="B73" t="s">
        <v>175</v>
      </c>
      <c r="C73">
        <v>32.299999999999997</v>
      </c>
      <c r="D73">
        <v>4.76</v>
      </c>
      <c r="E73" t="s">
        <v>19</v>
      </c>
      <c r="F73" t="s">
        <v>19</v>
      </c>
      <c r="G73" t="s">
        <v>19</v>
      </c>
      <c r="H73">
        <v>2</v>
      </c>
      <c r="I73" t="s">
        <v>20</v>
      </c>
      <c r="J73" t="s">
        <v>21</v>
      </c>
      <c r="K73" t="s">
        <v>39</v>
      </c>
      <c r="L73" s="1">
        <v>26458</v>
      </c>
      <c r="M73">
        <v>41919.1</v>
      </c>
      <c r="N73" t="s">
        <v>23</v>
      </c>
      <c r="O73" t="s">
        <v>23</v>
      </c>
      <c r="P73" t="s">
        <v>59</v>
      </c>
      <c r="Q73">
        <v>51</v>
      </c>
    </row>
    <row r="74" spans="1:17" x14ac:dyDescent="0.3">
      <c r="A74" t="s">
        <v>176</v>
      </c>
      <c r="B74" t="s">
        <v>177</v>
      </c>
      <c r="C74">
        <v>48.8</v>
      </c>
      <c r="D74">
        <v>6.22</v>
      </c>
      <c r="E74" t="s">
        <v>32</v>
      </c>
      <c r="F74" t="s">
        <v>19</v>
      </c>
      <c r="G74" t="s">
        <v>19</v>
      </c>
      <c r="H74">
        <v>2</v>
      </c>
      <c r="I74" t="s">
        <v>20</v>
      </c>
      <c r="J74" t="s">
        <v>21</v>
      </c>
      <c r="K74" t="s">
        <v>28</v>
      </c>
      <c r="L74" s="1">
        <v>24371</v>
      </c>
      <c r="M74">
        <v>41886.54</v>
      </c>
      <c r="N74" t="s">
        <v>23</v>
      </c>
      <c r="O74" t="s">
        <v>24</v>
      </c>
      <c r="P74" t="s">
        <v>42</v>
      </c>
      <c r="Q74">
        <v>56</v>
      </c>
    </row>
    <row r="75" spans="1:17" x14ac:dyDescent="0.3">
      <c r="A75" t="s">
        <v>178</v>
      </c>
      <c r="B75" t="s">
        <v>179</v>
      </c>
      <c r="C75">
        <v>45.5</v>
      </c>
      <c r="D75">
        <v>7.96</v>
      </c>
      <c r="E75" t="s">
        <v>19</v>
      </c>
      <c r="F75" t="s">
        <v>19</v>
      </c>
      <c r="G75" t="s">
        <v>19</v>
      </c>
      <c r="H75">
        <v>0</v>
      </c>
      <c r="I75" t="s">
        <v>20</v>
      </c>
      <c r="J75" t="s">
        <v>21</v>
      </c>
      <c r="K75" t="s">
        <v>22</v>
      </c>
      <c r="L75" s="1">
        <v>22911</v>
      </c>
      <c r="M75">
        <v>41794.629999999997</v>
      </c>
      <c r="N75" t="s">
        <v>23</v>
      </c>
      <c r="O75" t="s">
        <v>24</v>
      </c>
      <c r="P75" t="s">
        <v>42</v>
      </c>
      <c r="Q75">
        <v>60</v>
      </c>
    </row>
    <row r="76" spans="1:17" x14ac:dyDescent="0.3">
      <c r="A76" t="s">
        <v>180</v>
      </c>
      <c r="B76" t="s">
        <v>181</v>
      </c>
      <c r="C76">
        <v>53.61</v>
      </c>
      <c r="D76">
        <v>10.92</v>
      </c>
      <c r="E76" t="s">
        <v>32</v>
      </c>
      <c r="F76" t="s">
        <v>19</v>
      </c>
      <c r="G76" t="s">
        <v>19</v>
      </c>
      <c r="H76">
        <v>1</v>
      </c>
      <c r="I76" t="s">
        <v>20</v>
      </c>
      <c r="J76" t="s">
        <v>21</v>
      </c>
      <c r="K76" t="s">
        <v>22</v>
      </c>
      <c r="L76" s="1">
        <v>27666</v>
      </c>
      <c r="M76">
        <v>41681.86</v>
      </c>
      <c r="N76" t="s">
        <v>23</v>
      </c>
      <c r="O76" t="s">
        <v>23</v>
      </c>
      <c r="P76" t="s">
        <v>42</v>
      </c>
      <c r="Q76">
        <v>47</v>
      </c>
    </row>
    <row r="77" spans="1:17" x14ac:dyDescent="0.3">
      <c r="A77" t="s">
        <v>182</v>
      </c>
      <c r="B77" t="s">
        <v>183</v>
      </c>
      <c r="C77">
        <v>36.19</v>
      </c>
      <c r="D77">
        <v>11.51</v>
      </c>
      <c r="E77" t="s">
        <v>32</v>
      </c>
      <c r="F77" t="s">
        <v>19</v>
      </c>
      <c r="G77" t="s">
        <v>19</v>
      </c>
      <c r="H77">
        <v>1</v>
      </c>
      <c r="I77" t="s">
        <v>20</v>
      </c>
      <c r="J77" t="s">
        <v>21</v>
      </c>
      <c r="K77" t="s">
        <v>22</v>
      </c>
      <c r="L77" s="1">
        <v>27712</v>
      </c>
      <c r="M77">
        <v>41676.080000000002</v>
      </c>
      <c r="N77" t="s">
        <v>23</v>
      </c>
      <c r="O77" t="s">
        <v>29</v>
      </c>
      <c r="P77" t="s">
        <v>25</v>
      </c>
      <c r="Q77">
        <v>47</v>
      </c>
    </row>
    <row r="78" spans="1:17" x14ac:dyDescent="0.3">
      <c r="A78" t="s">
        <v>184</v>
      </c>
      <c r="B78" t="s">
        <v>185</v>
      </c>
      <c r="C78">
        <v>34.6</v>
      </c>
      <c r="D78">
        <v>5.99</v>
      </c>
      <c r="E78" t="s">
        <v>32</v>
      </c>
      <c r="F78" t="s">
        <v>19</v>
      </c>
      <c r="G78" t="s">
        <v>19</v>
      </c>
      <c r="H78">
        <v>0</v>
      </c>
      <c r="I78" t="s">
        <v>20</v>
      </c>
      <c r="J78" t="s">
        <v>21</v>
      </c>
      <c r="K78" t="s">
        <v>28</v>
      </c>
      <c r="L78" s="1">
        <v>28062</v>
      </c>
      <c r="M78">
        <v>41661.599999999999</v>
      </c>
      <c r="N78" t="s">
        <v>23</v>
      </c>
      <c r="O78" t="s">
        <v>24</v>
      </c>
      <c r="P78" t="s">
        <v>42</v>
      </c>
      <c r="Q78">
        <v>46</v>
      </c>
    </row>
    <row r="79" spans="1:17" x14ac:dyDescent="0.3">
      <c r="A79" t="s">
        <v>186</v>
      </c>
      <c r="B79" t="s">
        <v>187</v>
      </c>
      <c r="C79">
        <v>54.12</v>
      </c>
      <c r="D79">
        <v>11.57</v>
      </c>
      <c r="E79" t="s">
        <v>19</v>
      </c>
      <c r="F79" t="s">
        <v>19</v>
      </c>
      <c r="G79" t="s">
        <v>19</v>
      </c>
      <c r="H79">
        <v>0</v>
      </c>
      <c r="I79" t="s">
        <v>20</v>
      </c>
      <c r="J79" t="s">
        <v>21</v>
      </c>
      <c r="K79" t="s">
        <v>22</v>
      </c>
      <c r="L79" s="1">
        <v>27357</v>
      </c>
      <c r="M79">
        <v>41636.199999999997</v>
      </c>
      <c r="N79" t="s">
        <v>23</v>
      </c>
      <c r="O79" t="s">
        <v>23</v>
      </c>
      <c r="P79" t="s">
        <v>42</v>
      </c>
      <c r="Q79">
        <v>48</v>
      </c>
    </row>
    <row r="80" spans="1:17" x14ac:dyDescent="0.3">
      <c r="A80" t="s">
        <v>188</v>
      </c>
      <c r="B80" t="s">
        <v>189</v>
      </c>
      <c r="C80">
        <v>48.82</v>
      </c>
      <c r="D80">
        <v>6.67</v>
      </c>
      <c r="E80" t="s">
        <v>32</v>
      </c>
      <c r="F80" t="s">
        <v>19</v>
      </c>
      <c r="G80" t="s">
        <v>19</v>
      </c>
      <c r="H80">
        <v>0</v>
      </c>
      <c r="I80" t="s">
        <v>20</v>
      </c>
      <c r="J80" t="s">
        <v>21</v>
      </c>
      <c r="K80" t="s">
        <v>22</v>
      </c>
      <c r="L80" s="1">
        <v>24828</v>
      </c>
      <c r="M80">
        <v>41505.15</v>
      </c>
      <c r="N80" t="s">
        <v>23</v>
      </c>
      <c r="O80" t="s">
        <v>29</v>
      </c>
      <c r="P80" t="s">
        <v>42</v>
      </c>
      <c r="Q80">
        <v>55</v>
      </c>
    </row>
    <row r="81" spans="1:17" x14ac:dyDescent="0.3">
      <c r="A81" t="s">
        <v>190</v>
      </c>
      <c r="B81" t="s">
        <v>191</v>
      </c>
      <c r="C81">
        <v>51.01</v>
      </c>
      <c r="D81">
        <v>9.1999999999999993</v>
      </c>
      <c r="E81" t="s">
        <v>19</v>
      </c>
      <c r="F81" t="s">
        <v>19</v>
      </c>
      <c r="G81" t="s">
        <v>19</v>
      </c>
      <c r="H81">
        <v>0</v>
      </c>
      <c r="I81" t="s">
        <v>20</v>
      </c>
      <c r="J81" t="s">
        <v>21</v>
      </c>
      <c r="K81" t="s">
        <v>22</v>
      </c>
      <c r="L81" s="1">
        <v>26222</v>
      </c>
      <c r="M81">
        <v>41351.879999999997</v>
      </c>
      <c r="N81" t="s">
        <v>23</v>
      </c>
      <c r="O81" t="s">
        <v>29</v>
      </c>
      <c r="P81" t="s">
        <v>42</v>
      </c>
      <c r="Q81">
        <v>51</v>
      </c>
    </row>
    <row r="82" spans="1:17" x14ac:dyDescent="0.3">
      <c r="A82" t="s">
        <v>192</v>
      </c>
      <c r="B82" t="s">
        <v>193</v>
      </c>
      <c r="C82">
        <v>45.65</v>
      </c>
      <c r="D82">
        <v>5.1100000000000003</v>
      </c>
      <c r="E82" t="s">
        <v>32</v>
      </c>
      <c r="F82" t="s">
        <v>19</v>
      </c>
      <c r="G82" t="s">
        <v>19</v>
      </c>
      <c r="H82">
        <v>1</v>
      </c>
      <c r="I82" t="s">
        <v>20</v>
      </c>
      <c r="J82" t="s">
        <v>21</v>
      </c>
      <c r="K82" t="s">
        <v>39</v>
      </c>
      <c r="L82" s="1">
        <v>23657</v>
      </c>
      <c r="M82">
        <v>41331.79</v>
      </c>
      <c r="N82" t="s">
        <v>23</v>
      </c>
      <c r="O82" t="s">
        <v>29</v>
      </c>
      <c r="P82" t="s">
        <v>42</v>
      </c>
      <c r="Q82">
        <v>58</v>
      </c>
    </row>
    <row r="83" spans="1:17" x14ac:dyDescent="0.3">
      <c r="A83" t="s">
        <v>194</v>
      </c>
      <c r="B83" t="s">
        <v>195</v>
      </c>
      <c r="C83">
        <v>52.9</v>
      </c>
      <c r="D83">
        <v>5.34</v>
      </c>
      <c r="E83" t="s">
        <v>19</v>
      </c>
      <c r="F83" t="s">
        <v>19</v>
      </c>
      <c r="G83" t="s">
        <v>19</v>
      </c>
      <c r="H83">
        <v>0</v>
      </c>
      <c r="I83" t="s">
        <v>20</v>
      </c>
      <c r="J83" t="s">
        <v>21</v>
      </c>
      <c r="K83" t="s">
        <v>39</v>
      </c>
      <c r="L83" s="1">
        <v>28364</v>
      </c>
      <c r="M83">
        <v>41271.5</v>
      </c>
      <c r="N83" t="s">
        <v>23</v>
      </c>
      <c r="O83" t="s">
        <v>29</v>
      </c>
      <c r="P83" t="s">
        <v>42</v>
      </c>
      <c r="Q83">
        <v>45</v>
      </c>
    </row>
    <row r="84" spans="1:17" x14ac:dyDescent="0.3">
      <c r="A84" t="s">
        <v>196</v>
      </c>
      <c r="B84" t="s">
        <v>197</v>
      </c>
      <c r="C84">
        <v>45.41</v>
      </c>
      <c r="D84">
        <v>4.03</v>
      </c>
      <c r="E84" t="s">
        <v>32</v>
      </c>
      <c r="F84" t="s">
        <v>19</v>
      </c>
      <c r="G84" t="s">
        <v>19</v>
      </c>
      <c r="H84">
        <v>1</v>
      </c>
      <c r="I84" t="s">
        <v>20</v>
      </c>
      <c r="J84" t="s">
        <v>21</v>
      </c>
      <c r="K84" t="s">
        <v>39</v>
      </c>
      <c r="L84" s="1">
        <v>23534</v>
      </c>
      <c r="M84">
        <v>41250.39</v>
      </c>
      <c r="N84" t="s">
        <v>23</v>
      </c>
      <c r="O84" t="s">
        <v>24</v>
      </c>
      <c r="P84" t="s">
        <v>42</v>
      </c>
      <c r="Q84">
        <v>59</v>
      </c>
    </row>
    <row r="85" spans="1:17" x14ac:dyDescent="0.3">
      <c r="A85" t="s">
        <v>198</v>
      </c>
      <c r="B85" t="s">
        <v>199</v>
      </c>
      <c r="C85">
        <v>49.41</v>
      </c>
      <c r="D85">
        <v>4.2300000000000004</v>
      </c>
      <c r="E85" t="s">
        <v>32</v>
      </c>
      <c r="F85" t="s">
        <v>19</v>
      </c>
      <c r="G85" t="s">
        <v>20</v>
      </c>
      <c r="H85">
        <v>1</v>
      </c>
      <c r="I85" t="s">
        <v>20</v>
      </c>
      <c r="J85" t="s">
        <v>21</v>
      </c>
      <c r="K85" t="s">
        <v>39</v>
      </c>
      <c r="L85" s="1">
        <v>25423</v>
      </c>
      <c r="M85">
        <v>41191.57</v>
      </c>
      <c r="N85" t="s">
        <v>23</v>
      </c>
      <c r="O85" t="s">
        <v>29</v>
      </c>
      <c r="P85" t="s">
        <v>42</v>
      </c>
      <c r="Q85">
        <v>53</v>
      </c>
    </row>
    <row r="86" spans="1:17" x14ac:dyDescent="0.3">
      <c r="A86" t="s">
        <v>200</v>
      </c>
      <c r="B86" t="s">
        <v>201</v>
      </c>
      <c r="C86">
        <v>31.824999999999999</v>
      </c>
      <c r="D86">
        <v>4.0599999999999996</v>
      </c>
      <c r="E86" t="s">
        <v>19</v>
      </c>
      <c r="F86" t="s">
        <v>19</v>
      </c>
      <c r="G86" t="s">
        <v>19</v>
      </c>
      <c r="H86">
        <v>2</v>
      </c>
      <c r="I86" t="s">
        <v>20</v>
      </c>
      <c r="J86" t="s">
        <v>21</v>
      </c>
      <c r="K86" t="s">
        <v>39</v>
      </c>
      <c r="L86" s="1">
        <v>26548</v>
      </c>
      <c r="M86">
        <v>41097.160000000003</v>
      </c>
      <c r="N86" t="s">
        <v>23</v>
      </c>
      <c r="O86" t="s">
        <v>24</v>
      </c>
      <c r="P86" t="s">
        <v>59</v>
      </c>
      <c r="Q86">
        <v>50</v>
      </c>
    </row>
    <row r="87" spans="1:17" x14ac:dyDescent="0.3">
      <c r="A87" t="s">
        <v>202</v>
      </c>
      <c r="B87" t="s">
        <v>203</v>
      </c>
      <c r="C87">
        <v>51.28</v>
      </c>
      <c r="D87">
        <v>4.68</v>
      </c>
      <c r="E87" t="s">
        <v>19</v>
      </c>
      <c r="F87" t="s">
        <v>19</v>
      </c>
      <c r="G87" t="s">
        <v>19</v>
      </c>
      <c r="H87">
        <v>2</v>
      </c>
      <c r="I87" t="s">
        <v>20</v>
      </c>
      <c r="J87" t="s">
        <v>21</v>
      </c>
      <c r="K87" t="s">
        <v>39</v>
      </c>
      <c r="L87" s="1">
        <v>26523</v>
      </c>
      <c r="M87">
        <v>41055.29</v>
      </c>
      <c r="N87" t="s">
        <v>23</v>
      </c>
      <c r="O87" t="s">
        <v>29</v>
      </c>
      <c r="P87" t="s">
        <v>42</v>
      </c>
      <c r="Q87">
        <v>50</v>
      </c>
    </row>
    <row r="88" spans="1:17" x14ac:dyDescent="0.3">
      <c r="A88" t="s">
        <v>204</v>
      </c>
      <c r="B88" t="s">
        <v>205</v>
      </c>
      <c r="C88">
        <v>34.96</v>
      </c>
      <c r="D88">
        <v>4.34</v>
      </c>
      <c r="E88" t="s">
        <v>19</v>
      </c>
      <c r="F88" t="s">
        <v>19</v>
      </c>
      <c r="G88" t="s">
        <v>20</v>
      </c>
      <c r="H88">
        <v>1</v>
      </c>
      <c r="I88" t="s">
        <v>20</v>
      </c>
      <c r="J88" t="s">
        <v>21</v>
      </c>
      <c r="K88" t="s">
        <v>39</v>
      </c>
      <c r="L88" s="1">
        <v>29139</v>
      </c>
      <c r="M88">
        <v>41034.22</v>
      </c>
      <c r="N88" t="s">
        <v>23</v>
      </c>
      <c r="O88" t="s">
        <v>24</v>
      </c>
      <c r="P88" t="s">
        <v>206</v>
      </c>
      <c r="Q88">
        <v>43</v>
      </c>
    </row>
    <row r="89" spans="1:17" x14ac:dyDescent="0.3">
      <c r="A89" t="s">
        <v>207</v>
      </c>
      <c r="B89" t="s">
        <v>208</v>
      </c>
      <c r="C89">
        <v>33.11</v>
      </c>
      <c r="D89">
        <v>10.51</v>
      </c>
      <c r="E89" t="s">
        <v>19</v>
      </c>
      <c r="F89" t="s">
        <v>19</v>
      </c>
      <c r="G89" t="s">
        <v>19</v>
      </c>
      <c r="H89">
        <v>0</v>
      </c>
      <c r="I89" t="s">
        <v>20</v>
      </c>
      <c r="J89" t="s">
        <v>21</v>
      </c>
      <c r="K89" t="s">
        <v>22</v>
      </c>
      <c r="L89" s="1">
        <v>27185</v>
      </c>
      <c r="M89">
        <v>40974.160000000003</v>
      </c>
      <c r="N89" t="s">
        <v>23</v>
      </c>
      <c r="O89" t="s">
        <v>29</v>
      </c>
      <c r="P89" t="s">
        <v>25</v>
      </c>
      <c r="Q89">
        <v>49</v>
      </c>
    </row>
    <row r="90" spans="1:17" x14ac:dyDescent="0.3">
      <c r="A90" t="s">
        <v>209</v>
      </c>
      <c r="B90" t="s">
        <v>210</v>
      </c>
      <c r="C90">
        <v>54.74</v>
      </c>
      <c r="D90">
        <v>5.84</v>
      </c>
      <c r="E90" t="s">
        <v>32</v>
      </c>
      <c r="F90" t="s">
        <v>19</v>
      </c>
      <c r="G90" t="s">
        <v>20</v>
      </c>
      <c r="H90">
        <v>1</v>
      </c>
      <c r="I90" t="s">
        <v>20</v>
      </c>
      <c r="J90" t="s">
        <v>21</v>
      </c>
      <c r="K90" t="s">
        <v>28</v>
      </c>
      <c r="L90" s="1">
        <v>30567</v>
      </c>
      <c r="M90">
        <v>40961.29</v>
      </c>
      <c r="N90" t="s">
        <v>23</v>
      </c>
      <c r="O90" t="s">
        <v>29</v>
      </c>
      <c r="P90" t="s">
        <v>42</v>
      </c>
      <c r="Q90">
        <v>39</v>
      </c>
    </row>
    <row r="91" spans="1:17" x14ac:dyDescent="0.3">
      <c r="A91" t="s">
        <v>211</v>
      </c>
      <c r="B91" t="s">
        <v>212</v>
      </c>
      <c r="C91">
        <v>32.56</v>
      </c>
      <c r="D91">
        <v>5.41</v>
      </c>
      <c r="E91" t="s">
        <v>19</v>
      </c>
      <c r="F91" t="s">
        <v>19</v>
      </c>
      <c r="G91" t="s">
        <v>20</v>
      </c>
      <c r="H91">
        <v>1</v>
      </c>
      <c r="I91" t="s">
        <v>20</v>
      </c>
      <c r="J91" t="s">
        <v>21</v>
      </c>
      <c r="K91" t="s">
        <v>39</v>
      </c>
      <c r="L91" s="1">
        <v>29114</v>
      </c>
      <c r="M91">
        <v>40941.29</v>
      </c>
      <c r="N91" t="s">
        <v>23</v>
      </c>
      <c r="O91" t="s">
        <v>29</v>
      </c>
      <c r="P91" t="s">
        <v>25</v>
      </c>
      <c r="Q91">
        <v>43</v>
      </c>
    </row>
    <row r="92" spans="1:17" x14ac:dyDescent="0.3">
      <c r="A92" t="s">
        <v>213</v>
      </c>
      <c r="B92" t="s">
        <v>214</v>
      </c>
      <c r="C92">
        <v>39.049999999999997</v>
      </c>
      <c r="D92">
        <v>6.06</v>
      </c>
      <c r="E92" t="s">
        <v>19</v>
      </c>
      <c r="F92" t="s">
        <v>19</v>
      </c>
      <c r="G92" t="s">
        <v>19</v>
      </c>
      <c r="H92">
        <v>1</v>
      </c>
      <c r="I92" t="s">
        <v>20</v>
      </c>
      <c r="J92" t="s">
        <v>21</v>
      </c>
      <c r="K92" t="s">
        <v>28</v>
      </c>
      <c r="L92" s="1">
        <v>33820</v>
      </c>
      <c r="M92">
        <v>40932.43</v>
      </c>
      <c r="N92" t="s">
        <v>23</v>
      </c>
      <c r="O92" t="s">
        <v>29</v>
      </c>
      <c r="P92" t="s">
        <v>25</v>
      </c>
      <c r="Q92">
        <v>30</v>
      </c>
    </row>
    <row r="93" spans="1:17" x14ac:dyDescent="0.3">
      <c r="A93" t="s">
        <v>215</v>
      </c>
      <c r="B93" t="s">
        <v>216</v>
      </c>
      <c r="C93">
        <v>42.75</v>
      </c>
      <c r="D93">
        <v>4.22</v>
      </c>
      <c r="E93" t="s">
        <v>19</v>
      </c>
      <c r="F93" t="s">
        <v>19</v>
      </c>
      <c r="G93" t="s">
        <v>19</v>
      </c>
      <c r="H93">
        <v>0</v>
      </c>
      <c r="I93" t="s">
        <v>20</v>
      </c>
      <c r="J93" t="s">
        <v>21</v>
      </c>
      <c r="K93" t="s">
        <v>39</v>
      </c>
      <c r="L93" s="1">
        <v>36343</v>
      </c>
      <c r="M93">
        <v>40904.199999999997</v>
      </c>
      <c r="N93" t="s">
        <v>23</v>
      </c>
      <c r="O93" t="s">
        <v>23</v>
      </c>
      <c r="P93" t="s">
        <v>36</v>
      </c>
      <c r="Q93">
        <v>23</v>
      </c>
    </row>
    <row r="94" spans="1:17" x14ac:dyDescent="0.3">
      <c r="A94" t="s">
        <v>217</v>
      </c>
      <c r="B94" t="s">
        <v>218</v>
      </c>
      <c r="C94">
        <v>50.58</v>
      </c>
      <c r="D94">
        <v>5.12</v>
      </c>
      <c r="E94" t="s">
        <v>19</v>
      </c>
      <c r="F94" t="s">
        <v>19</v>
      </c>
      <c r="G94" t="s">
        <v>19</v>
      </c>
      <c r="H94">
        <v>2</v>
      </c>
      <c r="I94" t="s">
        <v>20</v>
      </c>
      <c r="J94" t="s">
        <v>21</v>
      </c>
      <c r="K94" t="s">
        <v>39</v>
      </c>
      <c r="L94" s="1">
        <v>26460</v>
      </c>
      <c r="M94">
        <v>40817.85</v>
      </c>
      <c r="N94" t="s">
        <v>23</v>
      </c>
      <c r="O94" t="s">
        <v>24</v>
      </c>
      <c r="P94" t="s">
        <v>42</v>
      </c>
      <c r="Q94">
        <v>50</v>
      </c>
    </row>
    <row r="95" spans="1:17" x14ac:dyDescent="0.3">
      <c r="A95" t="s">
        <v>219</v>
      </c>
      <c r="B95" t="s">
        <v>220</v>
      </c>
      <c r="C95">
        <v>30.495000000000001</v>
      </c>
      <c r="D95">
        <v>4.57</v>
      </c>
      <c r="E95" t="s">
        <v>32</v>
      </c>
      <c r="F95" t="s">
        <v>19</v>
      </c>
      <c r="G95" t="s">
        <v>19</v>
      </c>
      <c r="H95">
        <v>0</v>
      </c>
      <c r="I95" t="s">
        <v>20</v>
      </c>
      <c r="J95" t="s">
        <v>21</v>
      </c>
      <c r="K95" t="s">
        <v>39</v>
      </c>
      <c r="L95" s="1">
        <v>28120</v>
      </c>
      <c r="M95">
        <v>40720.550000000003</v>
      </c>
      <c r="N95" t="s">
        <v>23</v>
      </c>
      <c r="O95" t="s">
        <v>24</v>
      </c>
      <c r="P95" t="s">
        <v>33</v>
      </c>
      <c r="Q95">
        <v>46</v>
      </c>
    </row>
    <row r="96" spans="1:17" x14ac:dyDescent="0.3">
      <c r="A96" t="s">
        <v>221</v>
      </c>
      <c r="B96" t="s">
        <v>222</v>
      </c>
      <c r="C96">
        <v>48.31</v>
      </c>
      <c r="D96">
        <v>9.58</v>
      </c>
      <c r="E96" t="s">
        <v>32</v>
      </c>
      <c r="F96" t="s">
        <v>19</v>
      </c>
      <c r="G96" t="s">
        <v>19</v>
      </c>
      <c r="H96">
        <v>2</v>
      </c>
      <c r="I96" t="s">
        <v>20</v>
      </c>
      <c r="J96" t="s">
        <v>21</v>
      </c>
      <c r="K96" t="s">
        <v>22</v>
      </c>
      <c r="L96" s="1">
        <v>25836</v>
      </c>
      <c r="M96">
        <v>40692.910000000003</v>
      </c>
      <c r="N96" t="s">
        <v>23</v>
      </c>
      <c r="O96" t="s">
        <v>23</v>
      </c>
      <c r="P96" t="s">
        <v>42</v>
      </c>
      <c r="Q96">
        <v>52</v>
      </c>
    </row>
    <row r="97" spans="1:17" x14ac:dyDescent="0.3">
      <c r="A97" t="s">
        <v>223</v>
      </c>
      <c r="B97" t="s">
        <v>224</v>
      </c>
      <c r="C97">
        <v>48.99</v>
      </c>
      <c r="D97">
        <v>9.7799999999999994</v>
      </c>
      <c r="E97" t="s">
        <v>32</v>
      </c>
      <c r="F97" t="s">
        <v>19</v>
      </c>
      <c r="G97" t="s">
        <v>19</v>
      </c>
      <c r="H97">
        <v>1</v>
      </c>
      <c r="I97" t="s">
        <v>20</v>
      </c>
      <c r="J97" t="s">
        <v>21</v>
      </c>
      <c r="K97" t="s">
        <v>22</v>
      </c>
      <c r="L97" s="1">
        <v>27585</v>
      </c>
      <c r="M97">
        <v>40590.550000000003</v>
      </c>
      <c r="N97" t="s">
        <v>23</v>
      </c>
      <c r="O97" t="s">
        <v>24</v>
      </c>
      <c r="P97" t="s">
        <v>33</v>
      </c>
      <c r="Q97">
        <v>47</v>
      </c>
    </row>
    <row r="98" spans="1:17" x14ac:dyDescent="0.3">
      <c r="A98" t="s">
        <v>225</v>
      </c>
      <c r="B98" t="s">
        <v>226</v>
      </c>
      <c r="C98">
        <v>38.39</v>
      </c>
      <c r="D98">
        <v>4.1100000000000003</v>
      </c>
      <c r="E98" t="s">
        <v>32</v>
      </c>
      <c r="F98" t="s">
        <v>19</v>
      </c>
      <c r="G98" t="s">
        <v>19</v>
      </c>
      <c r="H98">
        <v>0</v>
      </c>
      <c r="I98" t="s">
        <v>20</v>
      </c>
      <c r="J98" t="s">
        <v>21</v>
      </c>
      <c r="K98" t="s">
        <v>39</v>
      </c>
      <c r="L98" s="1">
        <v>31354</v>
      </c>
      <c r="M98">
        <v>40419.019999999997</v>
      </c>
      <c r="N98" t="s">
        <v>23</v>
      </c>
      <c r="O98" t="s">
        <v>29</v>
      </c>
      <c r="P98" t="s">
        <v>25</v>
      </c>
      <c r="Q98">
        <v>37</v>
      </c>
    </row>
    <row r="99" spans="1:17" x14ac:dyDescent="0.3">
      <c r="A99" t="s">
        <v>227</v>
      </c>
      <c r="B99" t="s">
        <v>228</v>
      </c>
      <c r="C99">
        <v>44.34</v>
      </c>
      <c r="D99">
        <v>4.0199999999999996</v>
      </c>
      <c r="E99" t="s">
        <v>32</v>
      </c>
      <c r="F99" t="s">
        <v>19</v>
      </c>
      <c r="G99" t="s">
        <v>19</v>
      </c>
      <c r="H99">
        <v>2</v>
      </c>
      <c r="I99" t="s">
        <v>20</v>
      </c>
      <c r="J99" t="s">
        <v>21</v>
      </c>
      <c r="K99" t="s">
        <v>39</v>
      </c>
      <c r="L99" s="1">
        <v>24331</v>
      </c>
      <c r="M99">
        <v>40373.74</v>
      </c>
      <c r="N99" t="s">
        <v>23</v>
      </c>
      <c r="O99" t="s">
        <v>24</v>
      </c>
      <c r="P99" t="s">
        <v>42</v>
      </c>
      <c r="Q99">
        <v>56</v>
      </c>
    </row>
    <row r="100" spans="1:17" x14ac:dyDescent="0.3">
      <c r="A100" t="s">
        <v>229</v>
      </c>
      <c r="B100" t="s">
        <v>230</v>
      </c>
      <c r="C100">
        <v>41.51</v>
      </c>
      <c r="D100">
        <v>6.92</v>
      </c>
      <c r="E100" t="s">
        <v>19</v>
      </c>
      <c r="F100" t="s">
        <v>19</v>
      </c>
      <c r="G100" t="s">
        <v>19</v>
      </c>
      <c r="H100">
        <v>0</v>
      </c>
      <c r="I100" t="s">
        <v>20</v>
      </c>
      <c r="J100" t="s">
        <v>21</v>
      </c>
      <c r="K100" t="s">
        <v>22</v>
      </c>
      <c r="L100" s="1">
        <v>22893</v>
      </c>
      <c r="M100">
        <v>40309.93</v>
      </c>
      <c r="N100" t="s">
        <v>23</v>
      </c>
      <c r="O100" t="s">
        <v>24</v>
      </c>
      <c r="P100" t="s">
        <v>42</v>
      </c>
      <c r="Q100">
        <v>60</v>
      </c>
    </row>
    <row r="101" spans="1:17" x14ac:dyDescent="0.3">
      <c r="A101" t="s">
        <v>231</v>
      </c>
      <c r="B101" t="s">
        <v>232</v>
      </c>
      <c r="C101">
        <v>48.2</v>
      </c>
      <c r="D101">
        <v>4.84</v>
      </c>
      <c r="E101" t="s">
        <v>19</v>
      </c>
      <c r="F101" t="s">
        <v>19</v>
      </c>
      <c r="G101" t="s">
        <v>19</v>
      </c>
      <c r="H101">
        <v>0</v>
      </c>
      <c r="I101" t="s">
        <v>20</v>
      </c>
      <c r="J101" t="s">
        <v>21</v>
      </c>
      <c r="K101" t="s">
        <v>39</v>
      </c>
      <c r="L101" s="1">
        <v>28303</v>
      </c>
      <c r="M101">
        <v>40284.379999999997</v>
      </c>
      <c r="N101" t="s">
        <v>23</v>
      </c>
      <c r="O101" t="s">
        <v>24</v>
      </c>
      <c r="P101" t="s">
        <v>33</v>
      </c>
      <c r="Q101">
        <v>45</v>
      </c>
    </row>
    <row r="102" spans="1:17" x14ac:dyDescent="0.3">
      <c r="A102" t="s">
        <v>233</v>
      </c>
      <c r="B102" t="s">
        <v>234</v>
      </c>
      <c r="C102">
        <v>35.75</v>
      </c>
      <c r="D102">
        <v>8</v>
      </c>
      <c r="E102" t="s">
        <v>32</v>
      </c>
      <c r="F102" t="s">
        <v>19</v>
      </c>
      <c r="G102" t="s">
        <v>19</v>
      </c>
      <c r="H102">
        <v>0</v>
      </c>
      <c r="I102" t="s">
        <v>20</v>
      </c>
      <c r="J102" t="s">
        <v>21</v>
      </c>
      <c r="K102" t="s">
        <v>22</v>
      </c>
      <c r="L102" s="1">
        <v>29863</v>
      </c>
      <c r="M102">
        <v>40273.65</v>
      </c>
      <c r="N102" t="s">
        <v>23</v>
      </c>
      <c r="O102" t="s">
        <v>24</v>
      </c>
      <c r="P102" t="s">
        <v>25</v>
      </c>
      <c r="Q102">
        <v>41</v>
      </c>
    </row>
    <row r="103" spans="1:17" x14ac:dyDescent="0.3">
      <c r="A103" t="s">
        <v>235</v>
      </c>
      <c r="B103" t="s">
        <v>236</v>
      </c>
      <c r="C103">
        <v>53.81</v>
      </c>
      <c r="D103">
        <v>8.77</v>
      </c>
      <c r="E103" t="s">
        <v>32</v>
      </c>
      <c r="F103" t="s">
        <v>19</v>
      </c>
      <c r="G103" t="s">
        <v>19</v>
      </c>
      <c r="H103">
        <v>0</v>
      </c>
      <c r="I103" t="s">
        <v>20</v>
      </c>
      <c r="J103" t="s">
        <v>21</v>
      </c>
      <c r="K103" t="s">
        <v>22</v>
      </c>
      <c r="L103" s="1">
        <v>29795</v>
      </c>
      <c r="M103">
        <v>40208.559999999998</v>
      </c>
      <c r="N103" t="s">
        <v>23</v>
      </c>
      <c r="O103" t="s">
        <v>29</v>
      </c>
      <c r="P103" t="s">
        <v>42</v>
      </c>
      <c r="Q103">
        <v>41</v>
      </c>
    </row>
    <row r="104" spans="1:17" x14ac:dyDescent="0.3">
      <c r="A104" t="s">
        <v>237</v>
      </c>
      <c r="B104" t="s">
        <v>238</v>
      </c>
      <c r="C104">
        <v>49.48</v>
      </c>
      <c r="D104">
        <v>4.96</v>
      </c>
      <c r="E104" t="s">
        <v>19</v>
      </c>
      <c r="F104" t="s">
        <v>19</v>
      </c>
      <c r="G104" t="s">
        <v>20</v>
      </c>
      <c r="H104">
        <v>1</v>
      </c>
      <c r="I104" t="s">
        <v>20</v>
      </c>
      <c r="J104" t="s">
        <v>21</v>
      </c>
      <c r="K104" t="s">
        <v>39</v>
      </c>
      <c r="L104" s="1">
        <v>29085</v>
      </c>
      <c r="M104">
        <v>40204.83</v>
      </c>
      <c r="N104" t="s">
        <v>23</v>
      </c>
      <c r="O104" t="s">
        <v>24</v>
      </c>
      <c r="P104" t="s">
        <v>33</v>
      </c>
      <c r="Q104">
        <v>43</v>
      </c>
    </row>
    <row r="105" spans="1:17" x14ac:dyDescent="0.3">
      <c r="A105" t="s">
        <v>239</v>
      </c>
      <c r="B105" t="s">
        <v>240</v>
      </c>
      <c r="C105">
        <v>34.1</v>
      </c>
      <c r="D105">
        <v>4.43</v>
      </c>
      <c r="E105" t="s">
        <v>32</v>
      </c>
      <c r="F105" t="s">
        <v>19</v>
      </c>
      <c r="G105" t="s">
        <v>19</v>
      </c>
      <c r="H105">
        <v>0</v>
      </c>
      <c r="I105" t="s">
        <v>20</v>
      </c>
      <c r="J105" t="s">
        <v>21</v>
      </c>
      <c r="K105" t="s">
        <v>39</v>
      </c>
      <c r="L105" s="1">
        <v>31341</v>
      </c>
      <c r="M105">
        <v>40182.25</v>
      </c>
      <c r="N105" t="s">
        <v>23</v>
      </c>
      <c r="O105" t="s">
        <v>29</v>
      </c>
      <c r="P105" t="s">
        <v>42</v>
      </c>
      <c r="Q105">
        <v>37</v>
      </c>
    </row>
    <row r="106" spans="1:17" x14ac:dyDescent="0.3">
      <c r="A106" t="s">
        <v>241</v>
      </c>
      <c r="B106" t="s">
        <v>242</v>
      </c>
      <c r="C106">
        <v>35.299999999999997</v>
      </c>
      <c r="D106">
        <v>5.82</v>
      </c>
      <c r="E106" t="s">
        <v>32</v>
      </c>
      <c r="F106" t="s">
        <v>19</v>
      </c>
      <c r="G106" t="s">
        <v>20</v>
      </c>
      <c r="H106">
        <v>1</v>
      </c>
      <c r="I106" t="s">
        <v>20</v>
      </c>
      <c r="J106" t="s">
        <v>21</v>
      </c>
      <c r="K106" t="s">
        <v>28</v>
      </c>
      <c r="L106" s="1">
        <v>30603</v>
      </c>
      <c r="M106">
        <v>40103.89</v>
      </c>
      <c r="N106" t="s">
        <v>23</v>
      </c>
      <c r="O106" t="s">
        <v>29</v>
      </c>
      <c r="P106" t="s">
        <v>42</v>
      </c>
      <c r="Q106">
        <v>39</v>
      </c>
    </row>
    <row r="107" spans="1:17" x14ac:dyDescent="0.3">
      <c r="A107" t="s">
        <v>243</v>
      </c>
      <c r="B107" t="s">
        <v>244</v>
      </c>
      <c r="C107">
        <v>43.83</v>
      </c>
      <c r="D107">
        <v>6.03</v>
      </c>
      <c r="E107" t="s">
        <v>32</v>
      </c>
      <c r="F107" t="s">
        <v>19</v>
      </c>
      <c r="G107" t="s">
        <v>19</v>
      </c>
      <c r="H107">
        <v>2</v>
      </c>
      <c r="I107" t="s">
        <v>20</v>
      </c>
      <c r="J107" t="s">
        <v>21</v>
      </c>
      <c r="K107" t="s">
        <v>28</v>
      </c>
      <c r="L107" s="1">
        <v>24331</v>
      </c>
      <c r="M107">
        <v>40069.440000000002</v>
      </c>
      <c r="N107" t="s">
        <v>23</v>
      </c>
      <c r="O107" t="s">
        <v>24</v>
      </c>
      <c r="P107" t="s">
        <v>42</v>
      </c>
      <c r="Q107">
        <v>56</v>
      </c>
    </row>
    <row r="108" spans="1:17" x14ac:dyDescent="0.3">
      <c r="A108" t="s">
        <v>245</v>
      </c>
      <c r="B108" t="s">
        <v>246</v>
      </c>
      <c r="C108">
        <v>50.07</v>
      </c>
      <c r="D108">
        <v>9.27</v>
      </c>
      <c r="E108" t="s">
        <v>19</v>
      </c>
      <c r="F108" t="s">
        <v>19</v>
      </c>
      <c r="G108" t="s">
        <v>19</v>
      </c>
      <c r="H108">
        <v>0</v>
      </c>
      <c r="I108" t="s">
        <v>20</v>
      </c>
      <c r="J108" t="s">
        <v>21</v>
      </c>
      <c r="K108" t="s">
        <v>22</v>
      </c>
      <c r="L108" s="1">
        <v>28844</v>
      </c>
      <c r="M108">
        <v>40054.730000000003</v>
      </c>
      <c r="N108" t="s">
        <v>23</v>
      </c>
      <c r="O108" t="s">
        <v>24</v>
      </c>
      <c r="P108" t="s">
        <v>42</v>
      </c>
      <c r="Q108">
        <v>44</v>
      </c>
    </row>
    <row r="109" spans="1:17" x14ac:dyDescent="0.3">
      <c r="A109" t="s">
        <v>247</v>
      </c>
      <c r="B109" t="s">
        <v>248</v>
      </c>
      <c r="C109">
        <v>32.774999999999999</v>
      </c>
      <c r="D109">
        <v>5.53</v>
      </c>
      <c r="E109" t="s">
        <v>19</v>
      </c>
      <c r="F109" t="s">
        <v>19</v>
      </c>
      <c r="G109" t="s">
        <v>19</v>
      </c>
      <c r="H109">
        <v>0</v>
      </c>
      <c r="I109" t="s">
        <v>20</v>
      </c>
      <c r="J109" t="s">
        <v>21</v>
      </c>
      <c r="K109" t="s">
        <v>39</v>
      </c>
      <c r="L109" s="1">
        <v>30310</v>
      </c>
      <c r="M109">
        <v>40003.33</v>
      </c>
      <c r="N109" t="s">
        <v>23</v>
      </c>
      <c r="O109" t="s">
        <v>23</v>
      </c>
      <c r="P109" t="s">
        <v>33</v>
      </c>
      <c r="Q109">
        <v>40</v>
      </c>
    </row>
    <row r="110" spans="1:17" x14ac:dyDescent="0.3">
      <c r="A110" t="s">
        <v>249</v>
      </c>
      <c r="B110" t="s">
        <v>250</v>
      </c>
      <c r="C110">
        <v>34.104999999999997</v>
      </c>
      <c r="D110">
        <v>5.07</v>
      </c>
      <c r="E110" t="s">
        <v>19</v>
      </c>
      <c r="F110" t="s">
        <v>19</v>
      </c>
      <c r="G110" t="s">
        <v>19</v>
      </c>
      <c r="H110">
        <v>1</v>
      </c>
      <c r="I110" t="s">
        <v>20</v>
      </c>
      <c r="J110" t="s">
        <v>21</v>
      </c>
      <c r="K110" t="s">
        <v>39</v>
      </c>
      <c r="L110" s="1">
        <v>31997</v>
      </c>
      <c r="M110">
        <v>39983.43</v>
      </c>
      <c r="N110" t="s">
        <v>29</v>
      </c>
      <c r="O110" t="s">
        <v>24</v>
      </c>
      <c r="P110" t="s">
        <v>33</v>
      </c>
      <c r="Q110">
        <v>35</v>
      </c>
    </row>
    <row r="111" spans="1:17" x14ac:dyDescent="0.3">
      <c r="A111" t="s">
        <v>251</v>
      </c>
      <c r="B111" t="s">
        <v>252</v>
      </c>
      <c r="C111">
        <v>48.93</v>
      </c>
      <c r="D111">
        <v>11.17</v>
      </c>
      <c r="E111" t="s">
        <v>32</v>
      </c>
      <c r="F111" t="s">
        <v>19</v>
      </c>
      <c r="G111" t="s">
        <v>19</v>
      </c>
      <c r="H111">
        <v>1</v>
      </c>
      <c r="I111" t="s">
        <v>20</v>
      </c>
      <c r="J111" t="s">
        <v>21</v>
      </c>
      <c r="K111" t="s">
        <v>22</v>
      </c>
      <c r="L111" s="1">
        <v>27730</v>
      </c>
      <c r="M111">
        <v>39963.120000000003</v>
      </c>
      <c r="N111" t="s">
        <v>29</v>
      </c>
      <c r="O111" t="s">
        <v>29</v>
      </c>
      <c r="P111" t="s">
        <v>42</v>
      </c>
      <c r="Q111">
        <v>47</v>
      </c>
    </row>
    <row r="112" spans="1:17" x14ac:dyDescent="0.3">
      <c r="A112" t="s">
        <v>253</v>
      </c>
      <c r="B112" t="s">
        <v>254</v>
      </c>
      <c r="C112">
        <v>37.07</v>
      </c>
      <c r="D112">
        <v>6.14</v>
      </c>
      <c r="E112" t="s">
        <v>32</v>
      </c>
      <c r="F112" t="s">
        <v>19</v>
      </c>
      <c r="G112" t="s">
        <v>19</v>
      </c>
      <c r="H112">
        <v>0</v>
      </c>
      <c r="I112" t="s">
        <v>20</v>
      </c>
      <c r="J112" t="s">
        <v>21</v>
      </c>
      <c r="K112" t="s">
        <v>28</v>
      </c>
      <c r="L112" s="1">
        <v>31281</v>
      </c>
      <c r="M112">
        <v>39871.699999999997</v>
      </c>
      <c r="N112" t="s">
        <v>23</v>
      </c>
      <c r="O112" t="s">
        <v>29</v>
      </c>
      <c r="P112" t="s">
        <v>25</v>
      </c>
      <c r="Q112">
        <v>37</v>
      </c>
    </row>
    <row r="113" spans="1:17" x14ac:dyDescent="0.3">
      <c r="A113" t="s">
        <v>255</v>
      </c>
      <c r="B113" t="s">
        <v>256</v>
      </c>
      <c r="C113">
        <v>51.51</v>
      </c>
      <c r="D113">
        <v>6.26</v>
      </c>
      <c r="E113" t="s">
        <v>32</v>
      </c>
      <c r="F113" t="s">
        <v>19</v>
      </c>
      <c r="G113" t="s">
        <v>20</v>
      </c>
      <c r="H113">
        <v>1</v>
      </c>
      <c r="I113" t="s">
        <v>20</v>
      </c>
      <c r="J113" t="s">
        <v>21</v>
      </c>
      <c r="K113" t="s">
        <v>28</v>
      </c>
      <c r="L113" s="1">
        <v>30468</v>
      </c>
      <c r="M113">
        <v>39865.699999999997</v>
      </c>
      <c r="N113" t="s">
        <v>29</v>
      </c>
      <c r="O113" t="s">
        <v>29</v>
      </c>
      <c r="P113" t="s">
        <v>42</v>
      </c>
      <c r="Q113">
        <v>40</v>
      </c>
    </row>
    <row r="114" spans="1:17" x14ac:dyDescent="0.3">
      <c r="A114" t="s">
        <v>257</v>
      </c>
      <c r="B114" t="s">
        <v>258</v>
      </c>
      <c r="C114">
        <v>34.799999999999997</v>
      </c>
      <c r="D114">
        <v>4.72</v>
      </c>
      <c r="E114" t="s">
        <v>32</v>
      </c>
      <c r="F114" t="s">
        <v>19</v>
      </c>
      <c r="G114" t="s">
        <v>19</v>
      </c>
      <c r="H114">
        <v>0</v>
      </c>
      <c r="I114" t="s">
        <v>20</v>
      </c>
      <c r="J114" t="s">
        <v>21</v>
      </c>
      <c r="K114" t="s">
        <v>39</v>
      </c>
      <c r="L114" s="1">
        <v>31245</v>
      </c>
      <c r="M114">
        <v>39836.519999999997</v>
      </c>
      <c r="N114" t="s">
        <v>29</v>
      </c>
      <c r="O114" t="s">
        <v>23</v>
      </c>
      <c r="P114" t="s">
        <v>42</v>
      </c>
      <c r="Q114">
        <v>37</v>
      </c>
    </row>
    <row r="115" spans="1:17" x14ac:dyDescent="0.3">
      <c r="A115" t="s">
        <v>259</v>
      </c>
      <c r="B115" t="s">
        <v>260</v>
      </c>
      <c r="C115">
        <v>36.67</v>
      </c>
      <c r="D115">
        <v>5.18</v>
      </c>
      <c r="E115" t="s">
        <v>19</v>
      </c>
      <c r="F115" t="s">
        <v>19</v>
      </c>
      <c r="G115" t="s">
        <v>19</v>
      </c>
      <c r="H115">
        <v>1</v>
      </c>
      <c r="I115" t="s">
        <v>20</v>
      </c>
      <c r="J115" t="s">
        <v>21</v>
      </c>
      <c r="K115" t="s">
        <v>39</v>
      </c>
      <c r="L115" s="1">
        <v>31982</v>
      </c>
      <c r="M115">
        <v>39774.28</v>
      </c>
      <c r="N115" t="s">
        <v>23</v>
      </c>
      <c r="O115" t="s">
        <v>23</v>
      </c>
      <c r="P115" t="s">
        <v>261</v>
      </c>
      <c r="Q115">
        <v>35</v>
      </c>
    </row>
    <row r="116" spans="1:17" x14ac:dyDescent="0.3">
      <c r="A116" t="s">
        <v>262</v>
      </c>
      <c r="B116" t="s">
        <v>263</v>
      </c>
      <c r="C116">
        <v>30.9</v>
      </c>
      <c r="D116">
        <v>9.4</v>
      </c>
      <c r="E116" t="s">
        <v>19</v>
      </c>
      <c r="F116" t="s">
        <v>19</v>
      </c>
      <c r="G116" t="s">
        <v>19</v>
      </c>
      <c r="H116">
        <v>2</v>
      </c>
      <c r="I116" t="s">
        <v>20</v>
      </c>
      <c r="J116" t="s">
        <v>21</v>
      </c>
      <c r="K116" t="s">
        <v>22</v>
      </c>
      <c r="L116" s="1">
        <v>27015</v>
      </c>
      <c r="M116">
        <v>39727.61</v>
      </c>
      <c r="N116" t="s">
        <v>23</v>
      </c>
      <c r="O116" t="s">
        <v>29</v>
      </c>
      <c r="P116" t="s">
        <v>42</v>
      </c>
      <c r="Q116">
        <v>49</v>
      </c>
    </row>
    <row r="117" spans="1:17" x14ac:dyDescent="0.3">
      <c r="A117" t="s">
        <v>264</v>
      </c>
      <c r="B117" t="s">
        <v>265</v>
      </c>
      <c r="C117">
        <v>30.495000000000001</v>
      </c>
      <c r="D117">
        <v>6.29</v>
      </c>
      <c r="E117" t="s">
        <v>19</v>
      </c>
      <c r="F117" t="s">
        <v>19</v>
      </c>
      <c r="G117" t="s">
        <v>19</v>
      </c>
      <c r="H117">
        <v>0</v>
      </c>
      <c r="I117" t="s">
        <v>20</v>
      </c>
      <c r="J117" t="s">
        <v>21</v>
      </c>
      <c r="K117" t="s">
        <v>28</v>
      </c>
      <c r="L117" s="1">
        <v>28349</v>
      </c>
      <c r="M117">
        <v>39725.519999999997</v>
      </c>
      <c r="N117" t="s">
        <v>29</v>
      </c>
      <c r="O117" t="s">
        <v>23</v>
      </c>
      <c r="P117" t="s">
        <v>33</v>
      </c>
      <c r="Q117">
        <v>45</v>
      </c>
    </row>
    <row r="118" spans="1:17" x14ac:dyDescent="0.3">
      <c r="A118" t="s">
        <v>266</v>
      </c>
      <c r="B118" t="s">
        <v>267</v>
      </c>
      <c r="C118">
        <v>44.88</v>
      </c>
      <c r="D118">
        <v>6.04</v>
      </c>
      <c r="E118" t="s">
        <v>19</v>
      </c>
      <c r="F118" t="s">
        <v>19</v>
      </c>
      <c r="G118" t="s">
        <v>20</v>
      </c>
      <c r="H118">
        <v>1</v>
      </c>
      <c r="I118" t="s">
        <v>20</v>
      </c>
      <c r="J118" t="s">
        <v>21</v>
      </c>
      <c r="K118" t="s">
        <v>28</v>
      </c>
      <c r="L118" s="1">
        <v>37818</v>
      </c>
      <c r="M118">
        <v>39722.75</v>
      </c>
      <c r="N118" t="s">
        <v>23</v>
      </c>
      <c r="O118" t="s">
        <v>23</v>
      </c>
      <c r="P118" t="s">
        <v>25</v>
      </c>
      <c r="Q118">
        <v>19</v>
      </c>
    </row>
    <row r="119" spans="1:17" x14ac:dyDescent="0.3">
      <c r="A119" t="s">
        <v>268</v>
      </c>
      <c r="B119" t="s">
        <v>269</v>
      </c>
      <c r="C119">
        <v>44.32</v>
      </c>
      <c r="D119">
        <v>10.55</v>
      </c>
      <c r="E119" t="s">
        <v>19</v>
      </c>
      <c r="F119" t="s">
        <v>19</v>
      </c>
      <c r="G119" t="s">
        <v>19</v>
      </c>
      <c r="H119">
        <v>0</v>
      </c>
      <c r="I119" t="s">
        <v>20</v>
      </c>
      <c r="J119" t="s">
        <v>21</v>
      </c>
      <c r="K119" t="s">
        <v>22</v>
      </c>
      <c r="L119" s="1">
        <v>25110</v>
      </c>
      <c r="M119">
        <v>39721.93</v>
      </c>
      <c r="N119" t="s">
        <v>29</v>
      </c>
      <c r="O119" t="s">
        <v>29</v>
      </c>
      <c r="P119" t="s">
        <v>42</v>
      </c>
      <c r="Q119">
        <v>54</v>
      </c>
    </row>
    <row r="120" spans="1:17" x14ac:dyDescent="0.3">
      <c r="A120" t="s">
        <v>270</v>
      </c>
      <c r="B120" t="s">
        <v>271</v>
      </c>
      <c r="C120">
        <v>46.39</v>
      </c>
      <c r="D120">
        <v>5.09</v>
      </c>
      <c r="E120" t="s">
        <v>19</v>
      </c>
      <c r="F120" t="s">
        <v>19</v>
      </c>
      <c r="G120" t="s">
        <v>19</v>
      </c>
      <c r="H120">
        <v>0</v>
      </c>
      <c r="I120" t="s">
        <v>20</v>
      </c>
      <c r="J120" t="s">
        <v>21</v>
      </c>
      <c r="K120" t="s">
        <v>39</v>
      </c>
      <c r="L120" s="1">
        <v>28476</v>
      </c>
      <c r="M120">
        <v>39670.44</v>
      </c>
      <c r="N120" t="s">
        <v>29</v>
      </c>
      <c r="O120" t="s">
        <v>23</v>
      </c>
      <c r="P120" t="s">
        <v>33</v>
      </c>
      <c r="Q120">
        <v>45</v>
      </c>
    </row>
    <row r="121" spans="1:17" x14ac:dyDescent="0.3">
      <c r="A121" t="s">
        <v>272</v>
      </c>
      <c r="B121" t="s">
        <v>273</v>
      </c>
      <c r="C121">
        <v>42.13</v>
      </c>
      <c r="D121">
        <v>5.2</v>
      </c>
      <c r="E121" t="s">
        <v>32</v>
      </c>
      <c r="F121" t="s">
        <v>19</v>
      </c>
      <c r="G121" t="s">
        <v>19</v>
      </c>
      <c r="H121">
        <v>1</v>
      </c>
      <c r="I121" t="s">
        <v>20</v>
      </c>
      <c r="J121" t="s">
        <v>21</v>
      </c>
      <c r="K121" t="s">
        <v>39</v>
      </c>
      <c r="L121" s="1">
        <v>34918</v>
      </c>
      <c r="M121">
        <v>39611.760000000002</v>
      </c>
      <c r="N121" t="s">
        <v>23</v>
      </c>
      <c r="O121" t="s">
        <v>24</v>
      </c>
      <c r="P121" t="s">
        <v>25</v>
      </c>
      <c r="Q121">
        <v>27</v>
      </c>
    </row>
    <row r="122" spans="1:17" x14ac:dyDescent="0.3">
      <c r="A122" t="s">
        <v>274</v>
      </c>
      <c r="B122" t="s">
        <v>275</v>
      </c>
      <c r="C122">
        <v>30.78</v>
      </c>
      <c r="D122">
        <v>8.4499999999999993</v>
      </c>
      <c r="E122" t="s">
        <v>32</v>
      </c>
      <c r="F122" t="s">
        <v>19</v>
      </c>
      <c r="G122" t="s">
        <v>19</v>
      </c>
      <c r="H122">
        <v>0</v>
      </c>
      <c r="I122" t="s">
        <v>20</v>
      </c>
      <c r="J122" t="s">
        <v>21</v>
      </c>
      <c r="K122" t="s">
        <v>22</v>
      </c>
      <c r="L122" s="1">
        <v>29772</v>
      </c>
      <c r="M122">
        <v>39597.410000000003</v>
      </c>
      <c r="N122" t="s">
        <v>23</v>
      </c>
      <c r="O122" t="s">
        <v>29</v>
      </c>
      <c r="P122" t="s">
        <v>206</v>
      </c>
      <c r="Q122">
        <v>41</v>
      </c>
    </row>
    <row r="123" spans="1:17" x14ac:dyDescent="0.3">
      <c r="A123" t="s">
        <v>276</v>
      </c>
      <c r="B123" t="s">
        <v>277</v>
      </c>
      <c r="C123">
        <v>31.35</v>
      </c>
      <c r="D123">
        <v>9.5399999999999991</v>
      </c>
      <c r="E123" t="s">
        <v>19</v>
      </c>
      <c r="F123" t="s">
        <v>19</v>
      </c>
      <c r="G123" t="s">
        <v>19</v>
      </c>
      <c r="H123">
        <v>0</v>
      </c>
      <c r="I123" t="s">
        <v>20</v>
      </c>
      <c r="J123" t="s">
        <v>21</v>
      </c>
      <c r="K123" t="s">
        <v>22</v>
      </c>
      <c r="L123" s="1">
        <v>28683</v>
      </c>
      <c r="M123">
        <v>39556.49</v>
      </c>
      <c r="N123" t="s">
        <v>23</v>
      </c>
      <c r="O123" t="s">
        <v>29</v>
      </c>
      <c r="P123" t="s">
        <v>133</v>
      </c>
      <c r="Q123">
        <v>44</v>
      </c>
    </row>
    <row r="124" spans="1:17" x14ac:dyDescent="0.3">
      <c r="A124" t="s">
        <v>278</v>
      </c>
      <c r="B124" t="s">
        <v>279</v>
      </c>
      <c r="C124">
        <v>41.46</v>
      </c>
      <c r="D124">
        <v>4.99</v>
      </c>
      <c r="E124" t="s">
        <v>32</v>
      </c>
      <c r="F124" t="s">
        <v>19</v>
      </c>
      <c r="G124" t="s">
        <v>19</v>
      </c>
      <c r="H124">
        <v>2</v>
      </c>
      <c r="I124" t="s">
        <v>20</v>
      </c>
      <c r="J124" t="s">
        <v>21</v>
      </c>
      <c r="K124" t="s">
        <v>39</v>
      </c>
      <c r="L124" s="1">
        <v>24282</v>
      </c>
      <c r="M124">
        <v>39396.86</v>
      </c>
      <c r="N124" t="s">
        <v>29</v>
      </c>
      <c r="O124" t="s">
        <v>29</v>
      </c>
      <c r="P124" t="s">
        <v>42</v>
      </c>
      <c r="Q124">
        <v>56</v>
      </c>
    </row>
    <row r="125" spans="1:17" x14ac:dyDescent="0.3">
      <c r="A125" t="s">
        <v>280</v>
      </c>
      <c r="B125" t="s">
        <v>281</v>
      </c>
      <c r="C125">
        <v>48</v>
      </c>
      <c r="D125">
        <v>10.54</v>
      </c>
      <c r="E125" t="s">
        <v>19</v>
      </c>
      <c r="F125" t="s">
        <v>19</v>
      </c>
      <c r="G125" t="s">
        <v>19</v>
      </c>
      <c r="H125">
        <v>0</v>
      </c>
      <c r="I125" t="s">
        <v>20</v>
      </c>
      <c r="J125" t="s">
        <v>21</v>
      </c>
      <c r="K125" t="s">
        <v>22</v>
      </c>
      <c r="L125" s="1">
        <v>28707</v>
      </c>
      <c r="M125">
        <v>39352.6</v>
      </c>
      <c r="N125" t="s">
        <v>29</v>
      </c>
      <c r="O125" t="s">
        <v>24</v>
      </c>
      <c r="P125" t="s">
        <v>42</v>
      </c>
      <c r="Q125">
        <v>44</v>
      </c>
    </row>
    <row r="126" spans="1:17" x14ac:dyDescent="0.3">
      <c r="A126" t="s">
        <v>282</v>
      </c>
      <c r="B126" t="s">
        <v>283</v>
      </c>
      <c r="C126">
        <v>49.13</v>
      </c>
      <c r="D126">
        <v>4.54</v>
      </c>
      <c r="E126" t="s">
        <v>19</v>
      </c>
      <c r="F126" t="s">
        <v>19</v>
      </c>
      <c r="G126" t="s">
        <v>19</v>
      </c>
      <c r="H126">
        <v>0</v>
      </c>
      <c r="I126" t="s">
        <v>20</v>
      </c>
      <c r="J126" t="s">
        <v>21</v>
      </c>
      <c r="K126" t="s">
        <v>39</v>
      </c>
      <c r="L126" s="1">
        <v>30179</v>
      </c>
      <c r="M126">
        <v>39315.279999999999</v>
      </c>
      <c r="N126" t="s">
        <v>29</v>
      </c>
      <c r="O126" t="s">
        <v>24</v>
      </c>
      <c r="P126" t="s">
        <v>42</v>
      </c>
      <c r="Q126">
        <v>40</v>
      </c>
    </row>
    <row r="127" spans="1:17" x14ac:dyDescent="0.3">
      <c r="A127" t="s">
        <v>284</v>
      </c>
      <c r="B127" t="s">
        <v>285</v>
      </c>
      <c r="C127">
        <v>37.799999999999997</v>
      </c>
      <c r="D127">
        <v>6.29</v>
      </c>
      <c r="E127" t="s">
        <v>19</v>
      </c>
      <c r="F127" t="s">
        <v>19</v>
      </c>
      <c r="G127" t="s">
        <v>19</v>
      </c>
      <c r="H127">
        <v>1</v>
      </c>
      <c r="I127" t="s">
        <v>20</v>
      </c>
      <c r="J127" t="s">
        <v>21</v>
      </c>
      <c r="K127" t="s">
        <v>28</v>
      </c>
      <c r="L127" s="1">
        <v>33938</v>
      </c>
      <c r="M127">
        <v>39241.440000000002</v>
      </c>
      <c r="N127" t="s">
        <v>23</v>
      </c>
      <c r="O127" t="s">
        <v>24</v>
      </c>
      <c r="P127" t="s">
        <v>42</v>
      </c>
      <c r="Q127">
        <v>30</v>
      </c>
    </row>
    <row r="128" spans="1:17" x14ac:dyDescent="0.3">
      <c r="A128" t="s">
        <v>286</v>
      </c>
      <c r="B128" t="s">
        <v>287</v>
      </c>
      <c r="C128">
        <v>38.299999999999997</v>
      </c>
      <c r="D128">
        <v>9.51</v>
      </c>
      <c r="E128" t="s">
        <v>19</v>
      </c>
      <c r="F128" t="s">
        <v>19</v>
      </c>
      <c r="G128" t="s">
        <v>19</v>
      </c>
      <c r="H128">
        <v>0</v>
      </c>
      <c r="I128" t="s">
        <v>20</v>
      </c>
      <c r="J128" t="s">
        <v>21</v>
      </c>
      <c r="K128" t="s">
        <v>22</v>
      </c>
      <c r="L128" s="1">
        <v>22834</v>
      </c>
      <c r="M128">
        <v>39221.120000000003</v>
      </c>
      <c r="N128" t="s">
        <v>29</v>
      </c>
      <c r="O128" t="s">
        <v>23</v>
      </c>
      <c r="P128" t="s">
        <v>42</v>
      </c>
      <c r="Q128">
        <v>60</v>
      </c>
    </row>
    <row r="129" spans="1:17" x14ac:dyDescent="0.3">
      <c r="A129" t="s">
        <v>288</v>
      </c>
      <c r="B129" t="s">
        <v>289</v>
      </c>
      <c r="C129">
        <v>32.774999999999999</v>
      </c>
      <c r="D129">
        <v>4.72</v>
      </c>
      <c r="E129" t="s">
        <v>19</v>
      </c>
      <c r="F129" t="s">
        <v>19</v>
      </c>
      <c r="G129" t="s">
        <v>19</v>
      </c>
      <c r="H129">
        <v>0</v>
      </c>
      <c r="I129" t="s">
        <v>20</v>
      </c>
      <c r="J129" t="s">
        <v>21</v>
      </c>
      <c r="K129" t="s">
        <v>39</v>
      </c>
      <c r="L129" s="1">
        <v>30167</v>
      </c>
      <c r="M129">
        <v>39125.33</v>
      </c>
      <c r="N129" t="s">
        <v>23</v>
      </c>
      <c r="O129" t="s">
        <v>23</v>
      </c>
      <c r="P129" t="s">
        <v>59</v>
      </c>
      <c r="Q129">
        <v>40</v>
      </c>
    </row>
    <row r="130" spans="1:17" x14ac:dyDescent="0.3">
      <c r="A130" t="s">
        <v>290</v>
      </c>
      <c r="B130" t="s">
        <v>291</v>
      </c>
      <c r="C130">
        <v>34.200000000000003</v>
      </c>
      <c r="D130">
        <v>5.91</v>
      </c>
      <c r="E130" t="s">
        <v>32</v>
      </c>
      <c r="F130" t="s">
        <v>19</v>
      </c>
      <c r="G130" t="s">
        <v>19</v>
      </c>
      <c r="H130">
        <v>0</v>
      </c>
      <c r="I130" t="s">
        <v>20</v>
      </c>
      <c r="J130" t="s">
        <v>21</v>
      </c>
      <c r="K130" t="s">
        <v>28</v>
      </c>
      <c r="L130" s="1">
        <v>31310</v>
      </c>
      <c r="M130">
        <v>39047.29</v>
      </c>
      <c r="N130" t="s">
        <v>23</v>
      </c>
      <c r="O130" t="s">
        <v>24</v>
      </c>
      <c r="P130" t="s">
        <v>206</v>
      </c>
      <c r="Q130">
        <v>37</v>
      </c>
    </row>
    <row r="131" spans="1:17" x14ac:dyDescent="0.3">
      <c r="A131" t="s">
        <v>292</v>
      </c>
      <c r="B131" t="s">
        <v>293</v>
      </c>
      <c r="C131">
        <v>30.2</v>
      </c>
      <c r="D131">
        <v>9.58</v>
      </c>
      <c r="E131" t="s">
        <v>19</v>
      </c>
      <c r="F131" t="s">
        <v>19</v>
      </c>
      <c r="G131" t="s">
        <v>19</v>
      </c>
      <c r="H131">
        <v>0</v>
      </c>
      <c r="I131" t="s">
        <v>20</v>
      </c>
      <c r="J131" t="s">
        <v>21</v>
      </c>
      <c r="K131" t="s">
        <v>22</v>
      </c>
      <c r="L131" s="1">
        <v>28775</v>
      </c>
      <c r="M131">
        <v>38998.550000000003</v>
      </c>
      <c r="N131" t="s">
        <v>23</v>
      </c>
      <c r="O131" t="s">
        <v>23</v>
      </c>
      <c r="P131" t="s">
        <v>42</v>
      </c>
      <c r="Q131">
        <v>44</v>
      </c>
    </row>
    <row r="132" spans="1:17" x14ac:dyDescent="0.3">
      <c r="A132" t="s">
        <v>294</v>
      </c>
      <c r="B132" t="s">
        <v>295</v>
      </c>
      <c r="C132">
        <v>48.32</v>
      </c>
      <c r="D132">
        <v>5.77</v>
      </c>
      <c r="E132" t="s">
        <v>19</v>
      </c>
      <c r="F132" t="s">
        <v>19</v>
      </c>
      <c r="G132" t="s">
        <v>19</v>
      </c>
      <c r="H132">
        <v>0</v>
      </c>
      <c r="I132" t="s">
        <v>20</v>
      </c>
      <c r="J132" t="s">
        <v>21</v>
      </c>
      <c r="K132" t="s">
        <v>28</v>
      </c>
      <c r="L132" s="1">
        <v>29488</v>
      </c>
      <c r="M132">
        <v>38947.43</v>
      </c>
      <c r="N132" t="s">
        <v>29</v>
      </c>
      <c r="O132" t="s">
        <v>24</v>
      </c>
      <c r="P132" t="s">
        <v>42</v>
      </c>
      <c r="Q132">
        <v>42</v>
      </c>
    </row>
    <row r="133" spans="1:17" x14ac:dyDescent="0.3">
      <c r="A133" t="s">
        <v>296</v>
      </c>
      <c r="B133" t="s">
        <v>297</v>
      </c>
      <c r="C133">
        <v>44.86</v>
      </c>
      <c r="D133">
        <v>4.38</v>
      </c>
      <c r="E133" t="s">
        <v>32</v>
      </c>
      <c r="F133" t="s">
        <v>19</v>
      </c>
      <c r="G133" t="s">
        <v>19</v>
      </c>
      <c r="H133">
        <v>0</v>
      </c>
      <c r="I133" t="s">
        <v>20</v>
      </c>
      <c r="J133" t="s">
        <v>21</v>
      </c>
      <c r="K133" t="s">
        <v>39</v>
      </c>
      <c r="L133" s="1">
        <v>28109</v>
      </c>
      <c r="M133">
        <v>38932.559999999998</v>
      </c>
      <c r="N133" t="s">
        <v>29</v>
      </c>
      <c r="O133" t="s">
        <v>24</v>
      </c>
      <c r="P133" t="s">
        <v>42</v>
      </c>
      <c r="Q133">
        <v>46</v>
      </c>
    </row>
    <row r="134" spans="1:17" x14ac:dyDescent="0.3">
      <c r="A134" t="s">
        <v>298</v>
      </c>
      <c r="B134" t="s">
        <v>299</v>
      </c>
      <c r="C134">
        <v>52.15</v>
      </c>
      <c r="D134">
        <v>5.65</v>
      </c>
      <c r="E134" t="s">
        <v>19</v>
      </c>
      <c r="F134" t="s">
        <v>19</v>
      </c>
      <c r="G134" t="s">
        <v>19</v>
      </c>
      <c r="H134">
        <v>1</v>
      </c>
      <c r="I134" t="s">
        <v>20</v>
      </c>
      <c r="J134" t="s">
        <v>21</v>
      </c>
      <c r="K134" t="s">
        <v>39</v>
      </c>
      <c r="L134" s="1">
        <v>31944</v>
      </c>
      <c r="M134">
        <v>38924.04</v>
      </c>
      <c r="N134" t="s">
        <v>29</v>
      </c>
      <c r="O134" t="s">
        <v>29</v>
      </c>
      <c r="P134" t="s">
        <v>42</v>
      </c>
      <c r="Q134">
        <v>35</v>
      </c>
    </row>
    <row r="135" spans="1:17" x14ac:dyDescent="0.3">
      <c r="A135" t="s">
        <v>300</v>
      </c>
      <c r="B135" t="s">
        <v>301</v>
      </c>
      <c r="C135">
        <v>41.12</v>
      </c>
      <c r="D135">
        <v>7.54</v>
      </c>
      <c r="E135" t="s">
        <v>32</v>
      </c>
      <c r="F135" t="s">
        <v>19</v>
      </c>
      <c r="G135" t="s">
        <v>19</v>
      </c>
      <c r="H135">
        <v>0</v>
      </c>
      <c r="I135" t="s">
        <v>20</v>
      </c>
      <c r="J135" t="s">
        <v>21</v>
      </c>
      <c r="K135" t="s">
        <v>22</v>
      </c>
      <c r="L135" s="1">
        <v>24683</v>
      </c>
      <c r="M135">
        <v>38893.360000000001</v>
      </c>
      <c r="N135" t="s">
        <v>23</v>
      </c>
      <c r="O135" t="s">
        <v>29</v>
      </c>
      <c r="P135" t="s">
        <v>42</v>
      </c>
      <c r="Q135">
        <v>55</v>
      </c>
    </row>
    <row r="136" spans="1:17" x14ac:dyDescent="0.3">
      <c r="A136" t="s">
        <v>302</v>
      </c>
      <c r="B136" t="s">
        <v>303</v>
      </c>
      <c r="C136">
        <v>38.39</v>
      </c>
      <c r="D136">
        <v>5.1100000000000003</v>
      </c>
      <c r="E136" t="s">
        <v>32</v>
      </c>
      <c r="F136" t="s">
        <v>19</v>
      </c>
      <c r="G136" t="s">
        <v>19</v>
      </c>
      <c r="H136">
        <v>1</v>
      </c>
      <c r="I136" t="s">
        <v>20</v>
      </c>
      <c r="J136" t="s">
        <v>21</v>
      </c>
      <c r="K136" t="s">
        <v>39</v>
      </c>
      <c r="L136" s="1">
        <v>23534</v>
      </c>
      <c r="M136">
        <v>38869.25</v>
      </c>
      <c r="N136" t="s">
        <v>29</v>
      </c>
      <c r="O136" t="s">
        <v>29</v>
      </c>
      <c r="P136" t="s">
        <v>42</v>
      </c>
      <c r="Q136">
        <v>59</v>
      </c>
    </row>
    <row r="137" spans="1:17" x14ac:dyDescent="0.3">
      <c r="A137" t="s">
        <v>304</v>
      </c>
      <c r="B137" t="s">
        <v>305</v>
      </c>
      <c r="C137">
        <v>46.85</v>
      </c>
      <c r="D137">
        <v>4.25</v>
      </c>
      <c r="E137" t="s">
        <v>19</v>
      </c>
      <c r="F137" t="s">
        <v>19</v>
      </c>
      <c r="G137" t="s">
        <v>20</v>
      </c>
      <c r="H137">
        <v>1</v>
      </c>
      <c r="I137" t="s">
        <v>20</v>
      </c>
      <c r="J137" t="s">
        <v>21</v>
      </c>
      <c r="K137" t="s">
        <v>39</v>
      </c>
      <c r="L137" s="1">
        <v>29192</v>
      </c>
      <c r="M137">
        <v>38836.980000000003</v>
      </c>
      <c r="N137" t="s">
        <v>29</v>
      </c>
      <c r="O137" t="s">
        <v>23</v>
      </c>
      <c r="P137" t="s">
        <v>42</v>
      </c>
      <c r="Q137">
        <v>43</v>
      </c>
    </row>
    <row r="138" spans="1:17" x14ac:dyDescent="0.3">
      <c r="A138" t="s">
        <v>306</v>
      </c>
      <c r="B138" t="s">
        <v>307</v>
      </c>
      <c r="C138">
        <v>42.24</v>
      </c>
      <c r="D138">
        <v>5.55</v>
      </c>
      <c r="E138" t="s">
        <v>19</v>
      </c>
      <c r="F138" t="s">
        <v>32</v>
      </c>
      <c r="G138" t="s">
        <v>19</v>
      </c>
      <c r="H138">
        <v>1</v>
      </c>
      <c r="I138" t="s">
        <v>20</v>
      </c>
      <c r="J138" t="s">
        <v>21</v>
      </c>
      <c r="K138" t="s">
        <v>39</v>
      </c>
      <c r="L138" s="1">
        <v>38326</v>
      </c>
      <c r="M138">
        <v>38792.69</v>
      </c>
      <c r="N138" t="s">
        <v>29</v>
      </c>
      <c r="O138" t="s">
        <v>29</v>
      </c>
      <c r="P138" t="s">
        <v>25</v>
      </c>
      <c r="Q138">
        <v>18</v>
      </c>
    </row>
    <row r="139" spans="1:17" x14ac:dyDescent="0.3">
      <c r="A139" t="s">
        <v>308</v>
      </c>
      <c r="B139" t="s">
        <v>309</v>
      </c>
      <c r="C139">
        <v>34.39</v>
      </c>
      <c r="D139">
        <v>5.78</v>
      </c>
      <c r="E139" t="s">
        <v>19</v>
      </c>
      <c r="F139" t="s">
        <v>19</v>
      </c>
      <c r="G139" t="s">
        <v>19</v>
      </c>
      <c r="H139">
        <v>0</v>
      </c>
      <c r="I139" t="s">
        <v>20</v>
      </c>
      <c r="J139" t="s">
        <v>21</v>
      </c>
      <c r="K139" t="s">
        <v>28</v>
      </c>
      <c r="L139" s="1">
        <v>33550</v>
      </c>
      <c r="M139">
        <v>38746.36</v>
      </c>
      <c r="N139" t="s">
        <v>23</v>
      </c>
      <c r="O139" t="s">
        <v>29</v>
      </c>
      <c r="P139" t="s">
        <v>33</v>
      </c>
      <c r="Q139">
        <v>31</v>
      </c>
    </row>
    <row r="140" spans="1:17" x14ac:dyDescent="0.3">
      <c r="A140" t="s">
        <v>310</v>
      </c>
      <c r="B140" t="s">
        <v>311</v>
      </c>
      <c r="C140">
        <v>42.89</v>
      </c>
      <c r="D140">
        <v>5.28</v>
      </c>
      <c r="E140" t="s">
        <v>32</v>
      </c>
      <c r="F140" t="s">
        <v>19</v>
      </c>
      <c r="G140" t="s">
        <v>19</v>
      </c>
      <c r="H140">
        <v>0</v>
      </c>
      <c r="I140" t="s">
        <v>20</v>
      </c>
      <c r="J140" t="s">
        <v>21</v>
      </c>
      <c r="K140" t="s">
        <v>39</v>
      </c>
      <c r="L140" s="1">
        <v>27926</v>
      </c>
      <c r="M140">
        <v>38740.120000000003</v>
      </c>
      <c r="N140" t="s">
        <v>29</v>
      </c>
      <c r="O140" t="s">
        <v>29</v>
      </c>
      <c r="P140" t="s">
        <v>33</v>
      </c>
      <c r="Q140">
        <v>46</v>
      </c>
    </row>
    <row r="141" spans="1:17" x14ac:dyDescent="0.3">
      <c r="A141" t="s">
        <v>312</v>
      </c>
      <c r="B141" t="s">
        <v>313</v>
      </c>
      <c r="C141">
        <v>36.299999999999997</v>
      </c>
      <c r="D141">
        <v>5.39</v>
      </c>
      <c r="E141" t="s">
        <v>19</v>
      </c>
      <c r="F141" t="s">
        <v>19</v>
      </c>
      <c r="G141" t="s">
        <v>19</v>
      </c>
      <c r="H141">
        <v>0</v>
      </c>
      <c r="I141" t="s">
        <v>20</v>
      </c>
      <c r="J141" t="s">
        <v>21</v>
      </c>
      <c r="K141" t="s">
        <v>39</v>
      </c>
      <c r="L141" s="1">
        <v>33564</v>
      </c>
      <c r="M141">
        <v>38711</v>
      </c>
      <c r="N141" t="s">
        <v>23</v>
      </c>
      <c r="O141" t="s">
        <v>24</v>
      </c>
      <c r="P141" t="s">
        <v>42</v>
      </c>
      <c r="Q141">
        <v>31</v>
      </c>
    </row>
    <row r="142" spans="1:17" x14ac:dyDescent="0.3">
      <c r="A142" t="s">
        <v>314</v>
      </c>
      <c r="B142" t="s">
        <v>315</v>
      </c>
      <c r="C142">
        <v>35.200000000000003</v>
      </c>
      <c r="D142">
        <v>8.01</v>
      </c>
      <c r="E142" t="s">
        <v>32</v>
      </c>
      <c r="F142" t="s">
        <v>19</v>
      </c>
      <c r="G142" t="s">
        <v>19</v>
      </c>
      <c r="H142">
        <v>1</v>
      </c>
      <c r="I142" t="s">
        <v>20</v>
      </c>
      <c r="J142" t="s">
        <v>21</v>
      </c>
      <c r="K142" t="s">
        <v>22</v>
      </c>
      <c r="L142" s="1">
        <v>33544</v>
      </c>
      <c r="M142">
        <v>38711</v>
      </c>
      <c r="N142" t="s">
        <v>29</v>
      </c>
      <c r="O142" t="s">
        <v>29</v>
      </c>
      <c r="P142" t="s">
        <v>42</v>
      </c>
      <c r="Q142">
        <v>31</v>
      </c>
    </row>
    <row r="143" spans="1:17" x14ac:dyDescent="0.3">
      <c r="A143" t="s">
        <v>316</v>
      </c>
      <c r="B143" t="s">
        <v>317</v>
      </c>
      <c r="C143">
        <v>53.62</v>
      </c>
      <c r="D143">
        <v>5.21</v>
      </c>
      <c r="E143" t="s">
        <v>19</v>
      </c>
      <c r="F143" t="s">
        <v>19</v>
      </c>
      <c r="G143" t="s">
        <v>19</v>
      </c>
      <c r="H143">
        <v>0</v>
      </c>
      <c r="I143" t="s">
        <v>20</v>
      </c>
      <c r="J143" t="s">
        <v>21</v>
      </c>
      <c r="K143" t="s">
        <v>39</v>
      </c>
      <c r="L143" s="1">
        <v>31613</v>
      </c>
      <c r="M143">
        <v>38709.18</v>
      </c>
      <c r="N143" t="s">
        <v>23</v>
      </c>
      <c r="O143" t="s">
        <v>24</v>
      </c>
      <c r="P143" t="s">
        <v>25</v>
      </c>
      <c r="Q143">
        <v>36</v>
      </c>
    </row>
    <row r="144" spans="1:17" x14ac:dyDescent="0.3">
      <c r="A144" t="s">
        <v>318</v>
      </c>
      <c r="B144" t="s">
        <v>319</v>
      </c>
      <c r="C144">
        <v>36.67</v>
      </c>
      <c r="D144">
        <v>6.27</v>
      </c>
      <c r="E144" t="s">
        <v>19</v>
      </c>
      <c r="F144" t="s">
        <v>19</v>
      </c>
      <c r="G144" t="s">
        <v>19</v>
      </c>
      <c r="H144">
        <v>0</v>
      </c>
      <c r="I144" t="s">
        <v>20</v>
      </c>
      <c r="J144" t="s">
        <v>21</v>
      </c>
      <c r="K144" t="s">
        <v>28</v>
      </c>
      <c r="L144" s="1">
        <v>33067</v>
      </c>
      <c r="M144">
        <v>38652.089999999997</v>
      </c>
      <c r="N144" t="s">
        <v>29</v>
      </c>
      <c r="O144" t="s">
        <v>29</v>
      </c>
      <c r="P144" t="s">
        <v>42</v>
      </c>
      <c r="Q144">
        <v>32</v>
      </c>
    </row>
    <row r="145" spans="1:17" x14ac:dyDescent="0.3">
      <c r="A145" t="s">
        <v>320</v>
      </c>
      <c r="B145" t="s">
        <v>321</v>
      </c>
      <c r="C145">
        <v>33.4</v>
      </c>
      <c r="D145">
        <v>10.73</v>
      </c>
      <c r="E145" t="s">
        <v>32</v>
      </c>
      <c r="F145" t="s">
        <v>19</v>
      </c>
      <c r="G145" t="s">
        <v>19</v>
      </c>
      <c r="H145">
        <v>1</v>
      </c>
      <c r="I145" t="s">
        <v>20</v>
      </c>
      <c r="J145" t="s">
        <v>21</v>
      </c>
      <c r="K145" t="s">
        <v>22</v>
      </c>
      <c r="L145" s="1">
        <v>36476</v>
      </c>
      <c r="M145">
        <v>38511.629999999997</v>
      </c>
      <c r="N145" t="s">
        <v>29</v>
      </c>
      <c r="O145" t="s">
        <v>29</v>
      </c>
      <c r="P145" t="s">
        <v>36</v>
      </c>
      <c r="Q145">
        <v>23</v>
      </c>
    </row>
    <row r="146" spans="1:17" x14ac:dyDescent="0.3">
      <c r="A146" t="s">
        <v>322</v>
      </c>
      <c r="B146" t="s">
        <v>323</v>
      </c>
      <c r="C146">
        <v>42.71</v>
      </c>
      <c r="D146">
        <v>10.52</v>
      </c>
      <c r="E146" t="s">
        <v>19</v>
      </c>
      <c r="F146" t="s">
        <v>19</v>
      </c>
      <c r="G146" t="s">
        <v>19</v>
      </c>
      <c r="H146">
        <v>0</v>
      </c>
      <c r="I146" t="s">
        <v>20</v>
      </c>
      <c r="J146" t="s">
        <v>21</v>
      </c>
      <c r="K146" t="s">
        <v>22</v>
      </c>
      <c r="L146" s="1">
        <v>31584</v>
      </c>
      <c r="M146">
        <v>38415.47</v>
      </c>
      <c r="N146" t="s">
        <v>23</v>
      </c>
      <c r="O146" t="s">
        <v>29</v>
      </c>
      <c r="P146" t="s">
        <v>42</v>
      </c>
      <c r="Q146">
        <v>36</v>
      </c>
    </row>
    <row r="147" spans="1:17" x14ac:dyDescent="0.3">
      <c r="A147" t="s">
        <v>324</v>
      </c>
      <c r="B147" t="s">
        <v>325</v>
      </c>
      <c r="C147">
        <v>41.52</v>
      </c>
      <c r="D147">
        <v>11.82</v>
      </c>
      <c r="E147" t="s">
        <v>32</v>
      </c>
      <c r="F147" t="s">
        <v>19</v>
      </c>
      <c r="G147" t="s">
        <v>19</v>
      </c>
      <c r="H147">
        <v>2</v>
      </c>
      <c r="I147" t="s">
        <v>20</v>
      </c>
      <c r="J147" t="s">
        <v>21</v>
      </c>
      <c r="K147" t="s">
        <v>22</v>
      </c>
      <c r="L147" s="1">
        <v>26290</v>
      </c>
      <c r="M147">
        <v>38405.26</v>
      </c>
      <c r="N147" t="s">
        <v>29</v>
      </c>
      <c r="O147" t="s">
        <v>23</v>
      </c>
      <c r="P147" t="s">
        <v>42</v>
      </c>
      <c r="Q147">
        <v>51</v>
      </c>
    </row>
    <row r="148" spans="1:17" x14ac:dyDescent="0.3">
      <c r="A148" t="s">
        <v>326</v>
      </c>
      <c r="B148" t="s">
        <v>193</v>
      </c>
      <c r="C148">
        <v>39.4</v>
      </c>
      <c r="D148">
        <v>6.76</v>
      </c>
      <c r="E148" t="s">
        <v>19</v>
      </c>
      <c r="F148" t="s">
        <v>19</v>
      </c>
      <c r="G148" t="s">
        <v>19</v>
      </c>
      <c r="H148">
        <v>0</v>
      </c>
      <c r="I148" t="s">
        <v>20</v>
      </c>
      <c r="J148" t="s">
        <v>21</v>
      </c>
      <c r="K148" t="s">
        <v>22</v>
      </c>
      <c r="L148" s="1">
        <v>25802</v>
      </c>
      <c r="M148">
        <v>38389.79</v>
      </c>
      <c r="N148" t="s">
        <v>29</v>
      </c>
      <c r="O148" t="s">
        <v>24</v>
      </c>
      <c r="P148" t="s">
        <v>42</v>
      </c>
      <c r="Q148">
        <v>52</v>
      </c>
    </row>
    <row r="149" spans="1:17" x14ac:dyDescent="0.3">
      <c r="A149" t="s">
        <v>327</v>
      </c>
      <c r="B149" t="s">
        <v>328</v>
      </c>
      <c r="C149">
        <v>46.45</v>
      </c>
      <c r="D149">
        <v>5.62</v>
      </c>
      <c r="E149" t="s">
        <v>19</v>
      </c>
      <c r="F149" t="s">
        <v>19</v>
      </c>
      <c r="G149" t="s">
        <v>19</v>
      </c>
      <c r="H149">
        <v>0</v>
      </c>
      <c r="I149" t="s">
        <v>20</v>
      </c>
      <c r="J149" t="s">
        <v>21</v>
      </c>
      <c r="K149" t="s">
        <v>39</v>
      </c>
      <c r="L149" s="1">
        <v>37516</v>
      </c>
      <c r="M149">
        <v>38344.57</v>
      </c>
      <c r="N149" t="s">
        <v>23</v>
      </c>
      <c r="O149" t="s">
        <v>24</v>
      </c>
      <c r="P149" t="s">
        <v>42</v>
      </c>
      <c r="Q149">
        <v>20</v>
      </c>
    </row>
    <row r="150" spans="1:17" x14ac:dyDescent="0.3">
      <c r="A150" t="s">
        <v>329</v>
      </c>
      <c r="B150" t="s">
        <v>330</v>
      </c>
      <c r="C150">
        <v>35.75</v>
      </c>
      <c r="D150">
        <v>4.1900000000000004</v>
      </c>
      <c r="E150" t="s">
        <v>19</v>
      </c>
      <c r="F150" t="s">
        <v>19</v>
      </c>
      <c r="G150" t="s">
        <v>19</v>
      </c>
      <c r="H150">
        <v>0</v>
      </c>
      <c r="I150" t="s">
        <v>20</v>
      </c>
      <c r="J150" t="s">
        <v>21</v>
      </c>
      <c r="K150" t="s">
        <v>39</v>
      </c>
      <c r="L150" s="1">
        <v>29384</v>
      </c>
      <c r="M150">
        <v>38313.129999999997</v>
      </c>
      <c r="N150" t="s">
        <v>23</v>
      </c>
      <c r="O150" t="s">
        <v>24</v>
      </c>
      <c r="P150" t="s">
        <v>42</v>
      </c>
      <c r="Q150">
        <v>42</v>
      </c>
    </row>
    <row r="151" spans="1:17" x14ac:dyDescent="0.3">
      <c r="A151" t="s">
        <v>331</v>
      </c>
      <c r="B151" t="s">
        <v>332</v>
      </c>
      <c r="C151">
        <v>26.07</v>
      </c>
      <c r="D151">
        <v>5.32</v>
      </c>
      <c r="E151" t="s">
        <v>19</v>
      </c>
      <c r="F151" t="s">
        <v>19</v>
      </c>
      <c r="G151" t="s">
        <v>19</v>
      </c>
      <c r="H151">
        <v>0</v>
      </c>
      <c r="I151" t="s">
        <v>20</v>
      </c>
      <c r="J151" t="s">
        <v>333</v>
      </c>
      <c r="K151" t="s">
        <v>39</v>
      </c>
      <c r="L151" s="1">
        <v>32811</v>
      </c>
      <c r="M151">
        <v>38282.75</v>
      </c>
      <c r="N151" t="s">
        <v>23</v>
      </c>
      <c r="O151" t="s">
        <v>29</v>
      </c>
      <c r="P151" t="s">
        <v>25</v>
      </c>
      <c r="Q151">
        <v>33</v>
      </c>
    </row>
    <row r="152" spans="1:17" x14ac:dyDescent="0.3">
      <c r="A152" t="s">
        <v>334</v>
      </c>
      <c r="B152" t="s">
        <v>335</v>
      </c>
      <c r="C152">
        <v>36.54</v>
      </c>
      <c r="D152">
        <v>4.46</v>
      </c>
      <c r="E152" t="s">
        <v>32</v>
      </c>
      <c r="F152" t="s">
        <v>19</v>
      </c>
      <c r="G152" t="s">
        <v>19</v>
      </c>
      <c r="H152">
        <v>1</v>
      </c>
      <c r="I152" t="s">
        <v>20</v>
      </c>
      <c r="J152" t="s">
        <v>21</v>
      </c>
      <c r="K152" t="s">
        <v>39</v>
      </c>
      <c r="L152" s="1">
        <v>29449</v>
      </c>
      <c r="M152">
        <v>38245.589999999997</v>
      </c>
      <c r="N152" t="s">
        <v>23</v>
      </c>
      <c r="O152" t="s">
        <v>29</v>
      </c>
      <c r="P152" t="s">
        <v>25</v>
      </c>
      <c r="Q152">
        <v>42</v>
      </c>
    </row>
    <row r="153" spans="1:17" x14ac:dyDescent="0.3">
      <c r="A153" t="s">
        <v>336</v>
      </c>
      <c r="B153" t="s">
        <v>337</v>
      </c>
      <c r="C153">
        <v>51.64</v>
      </c>
      <c r="D153">
        <v>5.65</v>
      </c>
      <c r="E153" t="s">
        <v>19</v>
      </c>
      <c r="F153" t="s">
        <v>19</v>
      </c>
      <c r="G153" t="s">
        <v>19</v>
      </c>
      <c r="H153">
        <v>0</v>
      </c>
      <c r="I153" t="s">
        <v>20</v>
      </c>
      <c r="J153" t="s">
        <v>21</v>
      </c>
      <c r="K153" t="s">
        <v>39</v>
      </c>
      <c r="L153" s="1">
        <v>23544</v>
      </c>
      <c r="M153">
        <v>38241.74</v>
      </c>
      <c r="N153" t="s">
        <v>29</v>
      </c>
      <c r="O153" t="s">
        <v>24</v>
      </c>
      <c r="P153" t="s">
        <v>42</v>
      </c>
      <c r="Q153">
        <v>58</v>
      </c>
    </row>
    <row r="154" spans="1:17" x14ac:dyDescent="0.3">
      <c r="A154" t="s">
        <v>338</v>
      </c>
      <c r="B154" t="s">
        <v>339</v>
      </c>
      <c r="C154">
        <v>42.83</v>
      </c>
      <c r="D154">
        <v>6.04</v>
      </c>
      <c r="E154" t="s">
        <v>19</v>
      </c>
      <c r="F154" t="s">
        <v>19</v>
      </c>
      <c r="G154" t="s">
        <v>19</v>
      </c>
      <c r="H154">
        <v>2</v>
      </c>
      <c r="I154" t="s">
        <v>20</v>
      </c>
      <c r="J154" t="s">
        <v>21</v>
      </c>
      <c r="K154" t="s">
        <v>28</v>
      </c>
      <c r="L154" s="1">
        <v>32759</v>
      </c>
      <c r="M154">
        <v>38237.339999999997</v>
      </c>
      <c r="N154" t="s">
        <v>29</v>
      </c>
      <c r="O154" t="s">
        <v>24</v>
      </c>
      <c r="P154" t="s">
        <v>42</v>
      </c>
      <c r="Q154">
        <v>33</v>
      </c>
    </row>
    <row r="155" spans="1:17" x14ac:dyDescent="0.3">
      <c r="A155" t="s">
        <v>340</v>
      </c>
      <c r="B155" t="s">
        <v>341</v>
      </c>
      <c r="C155">
        <v>40.15</v>
      </c>
      <c r="D155">
        <v>5.76</v>
      </c>
      <c r="E155" t="s">
        <v>19</v>
      </c>
      <c r="F155" t="s">
        <v>19</v>
      </c>
      <c r="G155" t="s">
        <v>19</v>
      </c>
      <c r="H155">
        <v>1</v>
      </c>
      <c r="I155" t="s">
        <v>20</v>
      </c>
      <c r="J155" t="s">
        <v>21</v>
      </c>
      <c r="K155" t="s">
        <v>28</v>
      </c>
      <c r="L155" s="1">
        <v>26622</v>
      </c>
      <c r="M155">
        <v>38189.1</v>
      </c>
      <c r="N155" t="s">
        <v>29</v>
      </c>
      <c r="O155" t="s">
        <v>29</v>
      </c>
      <c r="P155" t="s">
        <v>42</v>
      </c>
      <c r="Q155">
        <v>50</v>
      </c>
    </row>
    <row r="156" spans="1:17" x14ac:dyDescent="0.3">
      <c r="A156" t="s">
        <v>342</v>
      </c>
      <c r="B156" t="s">
        <v>343</v>
      </c>
      <c r="C156">
        <v>27.8</v>
      </c>
      <c r="D156">
        <v>4.3600000000000003</v>
      </c>
      <c r="E156" t="s">
        <v>19</v>
      </c>
      <c r="F156" t="s">
        <v>19</v>
      </c>
      <c r="G156" t="s">
        <v>20</v>
      </c>
      <c r="H156">
        <v>1</v>
      </c>
      <c r="I156" t="s">
        <v>20</v>
      </c>
      <c r="J156" t="s">
        <v>333</v>
      </c>
      <c r="K156" t="s">
        <v>39</v>
      </c>
      <c r="L156" s="1">
        <v>36005</v>
      </c>
      <c r="M156">
        <v>38126.25</v>
      </c>
      <c r="N156" t="s">
        <v>23</v>
      </c>
      <c r="O156" t="s">
        <v>24</v>
      </c>
      <c r="P156" t="s">
        <v>25</v>
      </c>
      <c r="Q156">
        <v>24</v>
      </c>
    </row>
    <row r="157" spans="1:17" x14ac:dyDescent="0.3">
      <c r="A157" t="s">
        <v>344</v>
      </c>
      <c r="B157" t="s">
        <v>345</v>
      </c>
      <c r="C157">
        <v>45.81</v>
      </c>
      <c r="D157">
        <v>4.76</v>
      </c>
      <c r="E157" t="s">
        <v>32</v>
      </c>
      <c r="F157" t="s">
        <v>19</v>
      </c>
      <c r="G157" t="s">
        <v>20</v>
      </c>
      <c r="H157">
        <v>1</v>
      </c>
      <c r="I157" t="s">
        <v>20</v>
      </c>
      <c r="J157" t="s">
        <v>21</v>
      </c>
      <c r="K157" t="s">
        <v>39</v>
      </c>
      <c r="L157" s="1">
        <v>29107</v>
      </c>
      <c r="M157">
        <v>37829.72</v>
      </c>
      <c r="N157" t="s">
        <v>23</v>
      </c>
      <c r="O157" t="s">
        <v>29</v>
      </c>
      <c r="P157" t="s">
        <v>42</v>
      </c>
      <c r="Q157">
        <v>43</v>
      </c>
    </row>
    <row r="158" spans="1:17" x14ac:dyDescent="0.3">
      <c r="A158" t="s">
        <v>346</v>
      </c>
      <c r="B158" t="s">
        <v>347</v>
      </c>
      <c r="C158">
        <v>34.43</v>
      </c>
      <c r="D158">
        <v>10.82</v>
      </c>
      <c r="E158" t="s">
        <v>32</v>
      </c>
      <c r="F158" t="s">
        <v>19</v>
      </c>
      <c r="G158" t="s">
        <v>19</v>
      </c>
      <c r="H158">
        <v>1</v>
      </c>
      <c r="I158" t="s">
        <v>20</v>
      </c>
      <c r="J158" t="s">
        <v>21</v>
      </c>
      <c r="K158" t="s">
        <v>22</v>
      </c>
      <c r="L158" s="1">
        <v>30523</v>
      </c>
      <c r="M158">
        <v>37800.980000000003</v>
      </c>
      <c r="N158" t="s">
        <v>29</v>
      </c>
      <c r="O158" t="s">
        <v>29</v>
      </c>
      <c r="P158" t="s">
        <v>42</v>
      </c>
      <c r="Q158">
        <v>39</v>
      </c>
    </row>
    <row r="159" spans="1:17" x14ac:dyDescent="0.3">
      <c r="A159" t="s">
        <v>348</v>
      </c>
      <c r="B159" t="s">
        <v>349</v>
      </c>
      <c r="C159">
        <v>41.33</v>
      </c>
      <c r="D159">
        <v>4.01</v>
      </c>
      <c r="E159" t="s">
        <v>32</v>
      </c>
      <c r="F159" t="s">
        <v>19</v>
      </c>
      <c r="G159" t="s">
        <v>19</v>
      </c>
      <c r="H159">
        <v>0</v>
      </c>
      <c r="I159" t="s">
        <v>20</v>
      </c>
      <c r="J159" t="s">
        <v>21</v>
      </c>
      <c r="K159" t="s">
        <v>39</v>
      </c>
      <c r="L159" s="1">
        <v>31639</v>
      </c>
      <c r="M159">
        <v>37742.58</v>
      </c>
      <c r="N159" t="s">
        <v>23</v>
      </c>
      <c r="O159" t="s">
        <v>23</v>
      </c>
      <c r="P159" t="s">
        <v>25</v>
      </c>
      <c r="Q159">
        <v>36</v>
      </c>
    </row>
    <row r="160" spans="1:17" x14ac:dyDescent="0.3">
      <c r="A160" t="s">
        <v>350</v>
      </c>
      <c r="B160" t="s">
        <v>351</v>
      </c>
      <c r="C160">
        <v>31.92</v>
      </c>
      <c r="D160">
        <v>5.12</v>
      </c>
      <c r="E160" t="s">
        <v>32</v>
      </c>
      <c r="F160" t="s">
        <v>19</v>
      </c>
      <c r="G160" t="s">
        <v>19</v>
      </c>
      <c r="H160">
        <v>1</v>
      </c>
      <c r="I160" t="s">
        <v>20</v>
      </c>
      <c r="J160" t="s">
        <v>21</v>
      </c>
      <c r="K160" t="s">
        <v>39</v>
      </c>
      <c r="L160" s="1">
        <v>28021</v>
      </c>
      <c r="M160">
        <v>37735.199999999997</v>
      </c>
      <c r="N160" t="s">
        <v>29</v>
      </c>
      <c r="O160" t="s">
        <v>29</v>
      </c>
      <c r="P160" t="s">
        <v>42</v>
      </c>
      <c r="Q160">
        <v>46</v>
      </c>
    </row>
    <row r="161" spans="1:17" x14ac:dyDescent="0.3">
      <c r="A161" t="s">
        <v>352</v>
      </c>
      <c r="B161" t="s">
        <v>353</v>
      </c>
      <c r="C161">
        <v>39.799999999999997</v>
      </c>
      <c r="D161">
        <v>10.54</v>
      </c>
      <c r="E161" t="s">
        <v>32</v>
      </c>
      <c r="F161" t="s">
        <v>19</v>
      </c>
      <c r="G161" t="s">
        <v>19</v>
      </c>
      <c r="H161">
        <v>2</v>
      </c>
      <c r="I161" t="s">
        <v>20</v>
      </c>
      <c r="J161" t="s">
        <v>21</v>
      </c>
      <c r="K161" t="s">
        <v>22</v>
      </c>
      <c r="L161" s="1">
        <v>32426</v>
      </c>
      <c r="M161">
        <v>37701.879999999997</v>
      </c>
      <c r="N161" t="s">
        <v>29</v>
      </c>
      <c r="O161" t="s">
        <v>24</v>
      </c>
      <c r="P161" t="s">
        <v>354</v>
      </c>
      <c r="Q161">
        <v>34</v>
      </c>
    </row>
    <row r="162" spans="1:17" x14ac:dyDescent="0.3">
      <c r="A162" t="s">
        <v>355</v>
      </c>
      <c r="B162" t="s">
        <v>356</v>
      </c>
      <c r="C162">
        <v>42.82</v>
      </c>
      <c r="D162">
        <v>4.21</v>
      </c>
      <c r="E162" t="s">
        <v>19</v>
      </c>
      <c r="F162" t="s">
        <v>19</v>
      </c>
      <c r="G162" t="s">
        <v>19</v>
      </c>
      <c r="H162">
        <v>0</v>
      </c>
      <c r="I162" t="s">
        <v>20</v>
      </c>
      <c r="J162" t="s">
        <v>21</v>
      </c>
      <c r="K162" t="s">
        <v>39</v>
      </c>
      <c r="L162" s="1">
        <v>25869</v>
      </c>
      <c r="M162">
        <v>37675.06</v>
      </c>
      <c r="N162" t="s">
        <v>29</v>
      </c>
      <c r="O162" t="s">
        <v>24</v>
      </c>
      <c r="P162" t="s">
        <v>42</v>
      </c>
      <c r="Q162">
        <v>52</v>
      </c>
    </row>
    <row r="163" spans="1:17" x14ac:dyDescent="0.3">
      <c r="A163" t="s">
        <v>357</v>
      </c>
      <c r="B163" t="s">
        <v>358</v>
      </c>
      <c r="C163">
        <v>33.630000000000003</v>
      </c>
      <c r="D163">
        <v>5.42</v>
      </c>
      <c r="E163" t="s">
        <v>19</v>
      </c>
      <c r="F163" t="s">
        <v>19</v>
      </c>
      <c r="G163" t="s">
        <v>19</v>
      </c>
      <c r="H163">
        <v>0</v>
      </c>
      <c r="I163" t="s">
        <v>20</v>
      </c>
      <c r="J163" t="s">
        <v>21</v>
      </c>
      <c r="K163" t="s">
        <v>39</v>
      </c>
      <c r="L163" s="1">
        <v>30122</v>
      </c>
      <c r="M163">
        <v>37650.74</v>
      </c>
      <c r="N163" t="s">
        <v>29</v>
      </c>
      <c r="O163" t="s">
        <v>29</v>
      </c>
      <c r="P163" t="s">
        <v>33</v>
      </c>
      <c r="Q163">
        <v>40</v>
      </c>
    </row>
    <row r="164" spans="1:17" x14ac:dyDescent="0.3">
      <c r="A164" t="s">
        <v>359</v>
      </c>
      <c r="B164" t="s">
        <v>360</v>
      </c>
      <c r="C164">
        <v>37.07</v>
      </c>
      <c r="D164">
        <v>4.28</v>
      </c>
      <c r="E164" t="s">
        <v>19</v>
      </c>
      <c r="F164" t="s">
        <v>32</v>
      </c>
      <c r="G164" t="s">
        <v>19</v>
      </c>
      <c r="H164">
        <v>1</v>
      </c>
      <c r="I164" t="s">
        <v>20</v>
      </c>
      <c r="J164" t="s">
        <v>21</v>
      </c>
      <c r="K164" t="s">
        <v>39</v>
      </c>
      <c r="L164" s="1">
        <v>33193</v>
      </c>
      <c r="M164">
        <v>37607.53</v>
      </c>
      <c r="N164" t="s">
        <v>23</v>
      </c>
      <c r="O164" t="s">
        <v>29</v>
      </c>
      <c r="P164" t="s">
        <v>361</v>
      </c>
      <c r="Q164">
        <v>32</v>
      </c>
    </row>
    <row r="165" spans="1:17" x14ac:dyDescent="0.3">
      <c r="A165" t="s">
        <v>362</v>
      </c>
      <c r="B165" t="s">
        <v>363</v>
      </c>
      <c r="C165">
        <v>35.625</v>
      </c>
      <c r="D165">
        <v>8.9</v>
      </c>
      <c r="E165" t="s">
        <v>19</v>
      </c>
      <c r="F165" t="s">
        <v>19</v>
      </c>
      <c r="G165" t="s">
        <v>19</v>
      </c>
      <c r="H165">
        <v>0</v>
      </c>
      <c r="I165" t="s">
        <v>20</v>
      </c>
      <c r="J165" t="s">
        <v>21</v>
      </c>
      <c r="K165" t="s">
        <v>22</v>
      </c>
      <c r="L165" s="1">
        <v>36811</v>
      </c>
      <c r="M165">
        <v>37484.449999999997</v>
      </c>
      <c r="N165" t="s">
        <v>23</v>
      </c>
      <c r="O165" t="s">
        <v>23</v>
      </c>
      <c r="P165" t="s">
        <v>25</v>
      </c>
      <c r="Q165">
        <v>22</v>
      </c>
    </row>
    <row r="166" spans="1:17" x14ac:dyDescent="0.3">
      <c r="A166" t="s">
        <v>364</v>
      </c>
      <c r="B166" t="s">
        <v>365</v>
      </c>
      <c r="C166">
        <v>42.69</v>
      </c>
      <c r="D166">
        <v>4.8899999999999997</v>
      </c>
      <c r="E166" t="s">
        <v>19</v>
      </c>
      <c r="F166" t="s">
        <v>19</v>
      </c>
      <c r="G166" t="s">
        <v>20</v>
      </c>
      <c r="H166">
        <v>1</v>
      </c>
      <c r="I166" t="s">
        <v>20</v>
      </c>
      <c r="J166" t="s">
        <v>21</v>
      </c>
      <c r="K166" t="s">
        <v>39</v>
      </c>
      <c r="L166" s="1">
        <v>37526</v>
      </c>
      <c r="M166">
        <v>37465.339999999997</v>
      </c>
      <c r="N166" t="s">
        <v>23</v>
      </c>
      <c r="O166" t="s">
        <v>29</v>
      </c>
      <c r="P166" t="s">
        <v>33</v>
      </c>
      <c r="Q166">
        <v>20</v>
      </c>
    </row>
    <row r="167" spans="1:17" x14ac:dyDescent="0.3">
      <c r="A167" t="s">
        <v>366</v>
      </c>
      <c r="B167" t="s">
        <v>367</v>
      </c>
      <c r="C167">
        <v>37.869999999999997</v>
      </c>
      <c r="D167">
        <v>4.29</v>
      </c>
      <c r="E167" t="s">
        <v>32</v>
      </c>
      <c r="F167" t="s">
        <v>19</v>
      </c>
      <c r="G167" t="s">
        <v>20</v>
      </c>
      <c r="H167">
        <v>1</v>
      </c>
      <c r="I167" t="s">
        <v>20</v>
      </c>
      <c r="J167" t="s">
        <v>21</v>
      </c>
      <c r="K167" t="s">
        <v>39</v>
      </c>
      <c r="L167" s="1">
        <v>29070</v>
      </c>
      <c r="M167">
        <v>37425.94</v>
      </c>
      <c r="N167" t="s">
        <v>29</v>
      </c>
      <c r="O167" t="s">
        <v>23</v>
      </c>
      <c r="P167" t="s">
        <v>42</v>
      </c>
      <c r="Q167">
        <v>43</v>
      </c>
    </row>
    <row r="168" spans="1:17" x14ac:dyDescent="0.3">
      <c r="A168" t="s">
        <v>368</v>
      </c>
      <c r="B168" t="s">
        <v>369</v>
      </c>
      <c r="C168">
        <v>40.61</v>
      </c>
      <c r="D168">
        <v>8</v>
      </c>
      <c r="E168" t="s">
        <v>32</v>
      </c>
      <c r="F168" t="s">
        <v>19</v>
      </c>
      <c r="G168" t="s">
        <v>19</v>
      </c>
      <c r="H168">
        <v>1</v>
      </c>
      <c r="I168" t="s">
        <v>20</v>
      </c>
      <c r="J168" t="s">
        <v>21</v>
      </c>
      <c r="K168" t="s">
        <v>22</v>
      </c>
      <c r="L168" s="1">
        <v>25506</v>
      </c>
      <c r="M168">
        <v>37277.269999999997</v>
      </c>
      <c r="N168" t="s">
        <v>23</v>
      </c>
      <c r="O168" t="s">
        <v>24</v>
      </c>
      <c r="P168" t="s">
        <v>42</v>
      </c>
      <c r="Q168">
        <v>53</v>
      </c>
    </row>
    <row r="169" spans="1:17" x14ac:dyDescent="0.3">
      <c r="A169" t="s">
        <v>370</v>
      </c>
      <c r="B169" t="s">
        <v>371</v>
      </c>
      <c r="C169">
        <v>30.78</v>
      </c>
      <c r="D169">
        <v>4.67</v>
      </c>
      <c r="E169" t="s">
        <v>32</v>
      </c>
      <c r="F169" t="s">
        <v>19</v>
      </c>
      <c r="G169" t="s">
        <v>19</v>
      </c>
      <c r="H169">
        <v>0</v>
      </c>
      <c r="I169" t="s">
        <v>20</v>
      </c>
      <c r="J169" t="s">
        <v>21</v>
      </c>
      <c r="K169" t="s">
        <v>39</v>
      </c>
      <c r="L169" s="1">
        <v>27707</v>
      </c>
      <c r="M169">
        <v>37272.339999999997</v>
      </c>
      <c r="N169" t="s">
        <v>29</v>
      </c>
      <c r="O169" t="s">
        <v>24</v>
      </c>
      <c r="P169" t="s">
        <v>42</v>
      </c>
      <c r="Q169">
        <v>47</v>
      </c>
    </row>
    <row r="170" spans="1:17" x14ac:dyDescent="0.3">
      <c r="A170" t="s">
        <v>372</v>
      </c>
      <c r="B170" t="s">
        <v>373</v>
      </c>
      <c r="C170">
        <v>49.49</v>
      </c>
      <c r="D170">
        <v>4.5</v>
      </c>
      <c r="E170" t="s">
        <v>19</v>
      </c>
      <c r="F170" t="s">
        <v>19</v>
      </c>
      <c r="G170" t="s">
        <v>19</v>
      </c>
      <c r="H170">
        <v>0</v>
      </c>
      <c r="I170" t="s">
        <v>20</v>
      </c>
      <c r="J170" t="s">
        <v>21</v>
      </c>
      <c r="K170" t="s">
        <v>39</v>
      </c>
      <c r="L170" s="1">
        <v>31368</v>
      </c>
      <c r="M170">
        <v>37270.15</v>
      </c>
      <c r="N170" t="s">
        <v>29</v>
      </c>
      <c r="O170" t="s">
        <v>23</v>
      </c>
      <c r="P170" t="s">
        <v>36</v>
      </c>
      <c r="Q170">
        <v>37</v>
      </c>
    </row>
    <row r="171" spans="1:17" x14ac:dyDescent="0.3">
      <c r="A171" t="s">
        <v>374</v>
      </c>
      <c r="B171" t="s">
        <v>375</v>
      </c>
      <c r="C171">
        <v>37.619999999999997</v>
      </c>
      <c r="D171">
        <v>6.32</v>
      </c>
      <c r="E171" t="s">
        <v>32</v>
      </c>
      <c r="F171" t="s">
        <v>32</v>
      </c>
      <c r="G171" t="s">
        <v>19</v>
      </c>
      <c r="H171">
        <v>2</v>
      </c>
      <c r="I171" t="s">
        <v>20</v>
      </c>
      <c r="J171" t="s">
        <v>21</v>
      </c>
      <c r="K171" t="s">
        <v>28</v>
      </c>
      <c r="L171" s="1">
        <v>33163</v>
      </c>
      <c r="M171">
        <v>37251.22</v>
      </c>
      <c r="N171" t="s">
        <v>29</v>
      </c>
      <c r="O171" t="s">
        <v>29</v>
      </c>
      <c r="P171" t="s">
        <v>42</v>
      </c>
      <c r="Q171">
        <v>32</v>
      </c>
    </row>
    <row r="172" spans="1:17" x14ac:dyDescent="0.3">
      <c r="A172" t="s">
        <v>376</v>
      </c>
      <c r="B172" t="s">
        <v>377</v>
      </c>
      <c r="C172">
        <v>36.08</v>
      </c>
      <c r="D172">
        <v>6.1</v>
      </c>
      <c r="E172" t="s">
        <v>32</v>
      </c>
      <c r="F172" t="s">
        <v>19</v>
      </c>
      <c r="G172" t="s">
        <v>19</v>
      </c>
      <c r="H172">
        <v>1</v>
      </c>
      <c r="I172" t="s">
        <v>20</v>
      </c>
      <c r="J172" t="s">
        <v>21</v>
      </c>
      <c r="K172" t="s">
        <v>28</v>
      </c>
      <c r="L172" s="1">
        <v>36774</v>
      </c>
      <c r="M172">
        <v>37165.160000000003</v>
      </c>
      <c r="N172" t="s">
        <v>23</v>
      </c>
      <c r="O172" t="s">
        <v>24</v>
      </c>
      <c r="P172" t="s">
        <v>378</v>
      </c>
      <c r="Q172">
        <v>22</v>
      </c>
    </row>
    <row r="173" spans="1:17" x14ac:dyDescent="0.3">
      <c r="A173" t="s">
        <v>379</v>
      </c>
      <c r="B173" t="s">
        <v>380</v>
      </c>
      <c r="C173">
        <v>33.5</v>
      </c>
      <c r="D173">
        <v>5.4</v>
      </c>
      <c r="E173" t="s">
        <v>19</v>
      </c>
      <c r="F173" t="s">
        <v>19</v>
      </c>
      <c r="G173" t="s">
        <v>19</v>
      </c>
      <c r="H173">
        <v>0</v>
      </c>
      <c r="I173" t="s">
        <v>20</v>
      </c>
      <c r="J173" t="s">
        <v>21</v>
      </c>
      <c r="K173" t="s">
        <v>39</v>
      </c>
      <c r="L173" s="1">
        <v>35002</v>
      </c>
      <c r="M173">
        <v>37133.9</v>
      </c>
      <c r="N173" t="s">
        <v>29</v>
      </c>
      <c r="O173" t="s">
        <v>29</v>
      </c>
      <c r="P173" t="s">
        <v>25</v>
      </c>
      <c r="Q173">
        <v>27</v>
      </c>
    </row>
    <row r="174" spans="1:17" x14ac:dyDescent="0.3">
      <c r="A174" t="s">
        <v>381</v>
      </c>
      <c r="B174" t="s">
        <v>382</v>
      </c>
      <c r="C174">
        <v>47.46</v>
      </c>
      <c r="D174">
        <v>6.24</v>
      </c>
      <c r="E174" t="s">
        <v>32</v>
      </c>
      <c r="F174" t="s">
        <v>19</v>
      </c>
      <c r="G174" t="s">
        <v>19</v>
      </c>
      <c r="H174">
        <v>1</v>
      </c>
      <c r="I174" t="s">
        <v>20</v>
      </c>
      <c r="J174" t="s">
        <v>21</v>
      </c>
      <c r="K174" t="s">
        <v>28</v>
      </c>
      <c r="L174" s="1">
        <v>32669</v>
      </c>
      <c r="M174">
        <v>37079.370000000003</v>
      </c>
      <c r="N174" t="s">
        <v>29</v>
      </c>
      <c r="O174" t="s">
        <v>24</v>
      </c>
      <c r="P174" t="s">
        <v>42</v>
      </c>
      <c r="Q174">
        <v>33</v>
      </c>
    </row>
    <row r="175" spans="1:17" x14ac:dyDescent="0.3">
      <c r="A175" t="s">
        <v>383</v>
      </c>
      <c r="B175" t="s">
        <v>384</v>
      </c>
      <c r="C175">
        <v>49.24</v>
      </c>
      <c r="D175">
        <v>4.45</v>
      </c>
      <c r="E175" t="s">
        <v>19</v>
      </c>
      <c r="F175" t="s">
        <v>19</v>
      </c>
      <c r="G175" t="s">
        <v>19</v>
      </c>
      <c r="H175">
        <v>0</v>
      </c>
      <c r="I175" t="s">
        <v>20</v>
      </c>
      <c r="J175" t="s">
        <v>21</v>
      </c>
      <c r="K175" t="s">
        <v>39</v>
      </c>
      <c r="L175" s="1">
        <v>32494</v>
      </c>
      <c r="M175">
        <v>37076.370000000003</v>
      </c>
      <c r="N175" t="s">
        <v>29</v>
      </c>
      <c r="O175" t="s">
        <v>23</v>
      </c>
      <c r="P175" t="s">
        <v>42</v>
      </c>
      <c r="Q175">
        <v>34</v>
      </c>
    </row>
    <row r="176" spans="1:17" x14ac:dyDescent="0.3">
      <c r="A176" t="s">
        <v>385</v>
      </c>
      <c r="B176" t="s">
        <v>386</v>
      </c>
      <c r="C176">
        <v>54.4</v>
      </c>
      <c r="D176">
        <v>5.22</v>
      </c>
      <c r="E176" t="s">
        <v>19</v>
      </c>
      <c r="F176" t="s">
        <v>19</v>
      </c>
      <c r="G176" t="s">
        <v>19</v>
      </c>
      <c r="H176">
        <v>1</v>
      </c>
      <c r="I176" t="s">
        <v>20</v>
      </c>
      <c r="J176" t="s">
        <v>21</v>
      </c>
      <c r="K176" t="s">
        <v>39</v>
      </c>
      <c r="L176" s="1">
        <v>33543</v>
      </c>
      <c r="M176">
        <v>37040.879999999997</v>
      </c>
      <c r="N176" t="s">
        <v>29</v>
      </c>
      <c r="O176" t="s">
        <v>29</v>
      </c>
      <c r="P176" t="s">
        <v>42</v>
      </c>
      <c r="Q176">
        <v>31</v>
      </c>
    </row>
    <row r="177" spans="1:17" x14ac:dyDescent="0.3">
      <c r="A177" t="s">
        <v>387</v>
      </c>
      <c r="B177" t="s">
        <v>388</v>
      </c>
      <c r="C177">
        <v>35.53</v>
      </c>
      <c r="D177">
        <v>4.6100000000000003</v>
      </c>
      <c r="E177" t="s">
        <v>19</v>
      </c>
      <c r="F177" t="s">
        <v>19</v>
      </c>
      <c r="G177" t="s">
        <v>19</v>
      </c>
      <c r="H177">
        <v>1</v>
      </c>
      <c r="I177" t="s">
        <v>20</v>
      </c>
      <c r="J177" t="s">
        <v>21</v>
      </c>
      <c r="K177" t="s">
        <v>39</v>
      </c>
      <c r="L177" s="1">
        <v>33860</v>
      </c>
      <c r="M177">
        <v>36976.449999999997</v>
      </c>
      <c r="N177" t="s">
        <v>29</v>
      </c>
      <c r="O177" t="s">
        <v>24</v>
      </c>
      <c r="P177" t="s">
        <v>42</v>
      </c>
      <c r="Q177">
        <v>30</v>
      </c>
    </row>
    <row r="178" spans="1:17" x14ac:dyDescent="0.3">
      <c r="A178" t="s">
        <v>389</v>
      </c>
      <c r="B178" t="s">
        <v>390</v>
      </c>
      <c r="C178">
        <v>39.729999999999997</v>
      </c>
      <c r="D178">
        <v>6.24</v>
      </c>
      <c r="E178" t="s">
        <v>19</v>
      </c>
      <c r="F178" t="s">
        <v>19</v>
      </c>
      <c r="G178" t="s">
        <v>19</v>
      </c>
      <c r="H178">
        <v>0</v>
      </c>
      <c r="I178" t="s">
        <v>20</v>
      </c>
      <c r="J178" t="s">
        <v>21</v>
      </c>
      <c r="K178" t="s">
        <v>28</v>
      </c>
      <c r="L178" s="1">
        <v>33841</v>
      </c>
      <c r="M178">
        <v>36950.26</v>
      </c>
      <c r="N178" t="s">
        <v>23</v>
      </c>
      <c r="O178" t="s">
        <v>23</v>
      </c>
      <c r="P178" t="s">
        <v>25</v>
      </c>
      <c r="Q178">
        <v>30</v>
      </c>
    </row>
    <row r="179" spans="1:17" x14ac:dyDescent="0.3">
      <c r="A179" t="s">
        <v>391</v>
      </c>
      <c r="B179" t="s">
        <v>392</v>
      </c>
      <c r="C179">
        <v>35.68</v>
      </c>
      <c r="D179">
        <v>10.039999999999999</v>
      </c>
      <c r="E179" t="s">
        <v>19</v>
      </c>
      <c r="F179" t="s">
        <v>19</v>
      </c>
      <c r="G179" t="s">
        <v>19</v>
      </c>
      <c r="H179">
        <v>0</v>
      </c>
      <c r="I179" t="s">
        <v>20</v>
      </c>
      <c r="J179" t="s">
        <v>21</v>
      </c>
      <c r="K179" t="s">
        <v>22</v>
      </c>
      <c r="L179" s="1">
        <v>28350</v>
      </c>
      <c r="M179">
        <v>36935.64</v>
      </c>
      <c r="N179" t="s">
        <v>29</v>
      </c>
      <c r="O179" t="s">
        <v>23</v>
      </c>
      <c r="P179" t="s">
        <v>42</v>
      </c>
      <c r="Q179">
        <v>45</v>
      </c>
    </row>
    <row r="180" spans="1:17" x14ac:dyDescent="0.3">
      <c r="A180" t="s">
        <v>393</v>
      </c>
      <c r="B180" t="s">
        <v>394</v>
      </c>
      <c r="C180">
        <v>48.86</v>
      </c>
      <c r="D180">
        <v>6.09</v>
      </c>
      <c r="E180" t="s">
        <v>19</v>
      </c>
      <c r="F180" t="s">
        <v>19</v>
      </c>
      <c r="G180" t="s">
        <v>19</v>
      </c>
      <c r="H180">
        <v>0</v>
      </c>
      <c r="I180" t="s">
        <v>20</v>
      </c>
      <c r="J180" t="s">
        <v>21</v>
      </c>
      <c r="K180" t="s">
        <v>28</v>
      </c>
      <c r="L180" s="1">
        <v>25133</v>
      </c>
      <c r="M180">
        <v>36922.61</v>
      </c>
      <c r="N180" t="s">
        <v>29</v>
      </c>
      <c r="O180" t="s">
        <v>23</v>
      </c>
      <c r="P180" t="s">
        <v>42</v>
      </c>
      <c r="Q180">
        <v>54</v>
      </c>
    </row>
    <row r="181" spans="1:17" x14ac:dyDescent="0.3">
      <c r="A181" t="s">
        <v>395</v>
      </c>
      <c r="B181" t="s">
        <v>396</v>
      </c>
      <c r="C181">
        <v>34.799999999999997</v>
      </c>
      <c r="D181">
        <v>11.4</v>
      </c>
      <c r="E181" t="s">
        <v>32</v>
      </c>
      <c r="F181" t="s">
        <v>19</v>
      </c>
      <c r="G181" t="s">
        <v>20</v>
      </c>
      <c r="H181">
        <v>1</v>
      </c>
      <c r="I181" t="s">
        <v>19</v>
      </c>
      <c r="J181" t="s">
        <v>21</v>
      </c>
      <c r="K181" t="s">
        <v>22</v>
      </c>
      <c r="L181" s="1">
        <v>33399</v>
      </c>
      <c r="M181">
        <v>36911.99</v>
      </c>
      <c r="N181" t="s">
        <v>29</v>
      </c>
      <c r="O181" t="s">
        <v>29</v>
      </c>
      <c r="P181" t="s">
        <v>42</v>
      </c>
      <c r="Q181">
        <v>31</v>
      </c>
    </row>
    <row r="182" spans="1:17" x14ac:dyDescent="0.3">
      <c r="A182" t="s">
        <v>397</v>
      </c>
      <c r="B182" t="s">
        <v>398</v>
      </c>
      <c r="C182">
        <v>32.49</v>
      </c>
      <c r="D182">
        <v>4.29</v>
      </c>
      <c r="E182" t="s">
        <v>19</v>
      </c>
      <c r="F182" t="s">
        <v>19</v>
      </c>
      <c r="G182" t="s">
        <v>20</v>
      </c>
      <c r="H182">
        <v>1</v>
      </c>
      <c r="I182" t="s">
        <v>20</v>
      </c>
      <c r="J182" t="s">
        <v>21</v>
      </c>
      <c r="K182" t="s">
        <v>39</v>
      </c>
      <c r="L182" s="1">
        <v>23216</v>
      </c>
      <c r="M182">
        <v>36910.61</v>
      </c>
      <c r="N182" t="s">
        <v>29</v>
      </c>
      <c r="O182" t="s">
        <v>29</v>
      </c>
      <c r="P182" t="s">
        <v>42</v>
      </c>
      <c r="Q182">
        <v>59</v>
      </c>
    </row>
    <row r="183" spans="1:17" x14ac:dyDescent="0.3">
      <c r="A183" t="s">
        <v>399</v>
      </c>
      <c r="B183" t="s">
        <v>400</v>
      </c>
      <c r="C183">
        <v>39</v>
      </c>
      <c r="D183">
        <v>5.7</v>
      </c>
      <c r="E183" t="s">
        <v>19</v>
      </c>
      <c r="F183" t="s">
        <v>19</v>
      </c>
      <c r="G183" t="s">
        <v>19</v>
      </c>
      <c r="H183">
        <v>2</v>
      </c>
      <c r="I183" t="s">
        <v>20</v>
      </c>
      <c r="J183" t="s">
        <v>21</v>
      </c>
      <c r="K183" t="s">
        <v>28</v>
      </c>
      <c r="L183" s="1">
        <v>37793</v>
      </c>
      <c r="M183">
        <v>36898.730000000003</v>
      </c>
      <c r="N183" t="s">
        <v>29</v>
      </c>
      <c r="O183" t="s">
        <v>23</v>
      </c>
      <c r="P183" t="s">
        <v>33</v>
      </c>
      <c r="Q183">
        <v>19</v>
      </c>
    </row>
    <row r="184" spans="1:17" x14ac:dyDescent="0.3">
      <c r="A184" t="s">
        <v>401</v>
      </c>
      <c r="B184" t="s">
        <v>402</v>
      </c>
      <c r="C184">
        <v>35.299999999999997</v>
      </c>
      <c r="D184">
        <v>6.09</v>
      </c>
      <c r="E184" t="s">
        <v>19</v>
      </c>
      <c r="F184" t="s">
        <v>19</v>
      </c>
      <c r="G184" t="s">
        <v>19</v>
      </c>
      <c r="H184">
        <v>1</v>
      </c>
      <c r="I184" t="s">
        <v>20</v>
      </c>
      <c r="J184" t="s">
        <v>21</v>
      </c>
      <c r="K184" t="s">
        <v>28</v>
      </c>
      <c r="L184" s="1">
        <v>26638</v>
      </c>
      <c r="M184">
        <v>36889.99</v>
      </c>
      <c r="N184" t="s">
        <v>23</v>
      </c>
      <c r="O184" t="s">
        <v>24</v>
      </c>
      <c r="P184" t="s">
        <v>42</v>
      </c>
      <c r="Q184">
        <v>50</v>
      </c>
    </row>
    <row r="185" spans="1:17" x14ac:dyDescent="0.3">
      <c r="A185" t="s">
        <v>403</v>
      </c>
      <c r="B185" t="s">
        <v>404</v>
      </c>
      <c r="C185">
        <v>33.42</v>
      </c>
      <c r="D185">
        <v>10.67</v>
      </c>
      <c r="E185" t="s">
        <v>19</v>
      </c>
      <c r="F185" t="s">
        <v>19</v>
      </c>
      <c r="G185" t="s">
        <v>19</v>
      </c>
      <c r="H185">
        <v>0</v>
      </c>
      <c r="I185" t="s">
        <v>20</v>
      </c>
      <c r="J185" t="s">
        <v>21</v>
      </c>
      <c r="K185" t="s">
        <v>22</v>
      </c>
      <c r="L185" s="1">
        <v>33564</v>
      </c>
      <c r="M185">
        <v>38711</v>
      </c>
      <c r="N185" t="s">
        <v>23</v>
      </c>
      <c r="O185" t="s">
        <v>24</v>
      </c>
      <c r="P185" t="s">
        <v>42</v>
      </c>
      <c r="Q185">
        <v>31</v>
      </c>
    </row>
    <row r="186" spans="1:17" x14ac:dyDescent="0.3">
      <c r="A186" t="s">
        <v>405</v>
      </c>
      <c r="B186" t="s">
        <v>406</v>
      </c>
      <c r="C186">
        <v>37.18</v>
      </c>
      <c r="D186">
        <v>6.75</v>
      </c>
      <c r="E186" t="s">
        <v>32</v>
      </c>
      <c r="F186" t="s">
        <v>19</v>
      </c>
      <c r="G186" t="s">
        <v>19</v>
      </c>
      <c r="H186">
        <v>2</v>
      </c>
      <c r="I186" t="s">
        <v>20</v>
      </c>
      <c r="J186" t="s">
        <v>21</v>
      </c>
      <c r="K186" t="s">
        <v>22</v>
      </c>
      <c r="L186" s="1">
        <v>33789</v>
      </c>
      <c r="M186">
        <v>36837.47</v>
      </c>
      <c r="N186" t="s">
        <v>29</v>
      </c>
      <c r="O186" t="s">
        <v>24</v>
      </c>
      <c r="P186" t="s">
        <v>42</v>
      </c>
      <c r="Q186">
        <v>30</v>
      </c>
    </row>
    <row r="187" spans="1:17" x14ac:dyDescent="0.3">
      <c r="A187" t="s">
        <v>407</v>
      </c>
      <c r="B187" t="s">
        <v>408</v>
      </c>
      <c r="C187">
        <v>33.33</v>
      </c>
      <c r="D187">
        <v>9.26</v>
      </c>
      <c r="E187" t="s">
        <v>32</v>
      </c>
      <c r="F187" t="s">
        <v>19</v>
      </c>
      <c r="G187" t="s">
        <v>19</v>
      </c>
      <c r="H187">
        <v>2</v>
      </c>
      <c r="I187" t="s">
        <v>19</v>
      </c>
      <c r="J187" t="s">
        <v>21</v>
      </c>
      <c r="K187" t="s">
        <v>22</v>
      </c>
      <c r="L187" s="1">
        <v>24104</v>
      </c>
      <c r="M187">
        <v>36795.29</v>
      </c>
      <c r="N187" t="s">
        <v>29</v>
      </c>
      <c r="O187" t="s">
        <v>23</v>
      </c>
      <c r="P187" t="s">
        <v>42</v>
      </c>
      <c r="Q187">
        <v>57</v>
      </c>
    </row>
    <row r="188" spans="1:17" x14ac:dyDescent="0.3">
      <c r="A188" t="s">
        <v>409</v>
      </c>
      <c r="B188" t="s">
        <v>410</v>
      </c>
      <c r="C188">
        <v>53.21</v>
      </c>
      <c r="D188">
        <v>4.2699999999999996</v>
      </c>
      <c r="E188" t="s">
        <v>19</v>
      </c>
      <c r="F188" t="s">
        <v>19</v>
      </c>
      <c r="G188" t="s">
        <v>19</v>
      </c>
      <c r="H188">
        <v>1</v>
      </c>
      <c r="I188" t="s">
        <v>20</v>
      </c>
      <c r="J188" t="s">
        <v>21</v>
      </c>
      <c r="K188" t="s">
        <v>39</v>
      </c>
      <c r="L188" s="1">
        <v>25763</v>
      </c>
      <c r="M188">
        <v>36786.370000000003</v>
      </c>
      <c r="N188" t="s">
        <v>23</v>
      </c>
      <c r="O188" t="s">
        <v>23</v>
      </c>
      <c r="P188" t="s">
        <v>42</v>
      </c>
      <c r="Q188">
        <v>52</v>
      </c>
    </row>
    <row r="189" spans="1:17" x14ac:dyDescent="0.3">
      <c r="A189" t="s">
        <v>411</v>
      </c>
      <c r="B189" t="s">
        <v>412</v>
      </c>
      <c r="C189">
        <v>38.729999999999997</v>
      </c>
      <c r="D189">
        <v>11.51</v>
      </c>
      <c r="E189" t="s">
        <v>19</v>
      </c>
      <c r="F189" t="s">
        <v>19</v>
      </c>
      <c r="G189" t="s">
        <v>19</v>
      </c>
      <c r="H189">
        <v>2</v>
      </c>
      <c r="I189" t="s">
        <v>20</v>
      </c>
      <c r="J189" t="s">
        <v>21</v>
      </c>
      <c r="K189" t="s">
        <v>22</v>
      </c>
      <c r="L189" s="1">
        <v>22491</v>
      </c>
      <c r="M189">
        <v>36580.28</v>
      </c>
      <c r="N189" t="s">
        <v>29</v>
      </c>
      <c r="O189" t="s">
        <v>29</v>
      </c>
      <c r="P189" t="s">
        <v>25</v>
      </c>
      <c r="Q189">
        <v>61</v>
      </c>
    </row>
    <row r="190" spans="1:17" x14ac:dyDescent="0.3">
      <c r="A190" t="s">
        <v>413</v>
      </c>
      <c r="B190" t="s">
        <v>414</v>
      </c>
      <c r="C190">
        <v>29.73</v>
      </c>
      <c r="D190">
        <v>7.22</v>
      </c>
      <c r="E190" t="s">
        <v>19</v>
      </c>
      <c r="F190" t="s">
        <v>19</v>
      </c>
      <c r="G190" t="s">
        <v>19</v>
      </c>
      <c r="H190">
        <v>0</v>
      </c>
      <c r="I190" t="s">
        <v>20</v>
      </c>
      <c r="J190" t="s">
        <v>333</v>
      </c>
      <c r="K190" t="s">
        <v>22</v>
      </c>
      <c r="L190" s="1">
        <v>33886</v>
      </c>
      <c r="M190">
        <v>36572.800000000003</v>
      </c>
      <c r="N190" t="s">
        <v>23</v>
      </c>
      <c r="O190" t="s">
        <v>29</v>
      </c>
      <c r="P190" t="s">
        <v>42</v>
      </c>
      <c r="Q190">
        <v>30</v>
      </c>
    </row>
    <row r="191" spans="1:17" x14ac:dyDescent="0.3">
      <c r="A191" t="s">
        <v>415</v>
      </c>
      <c r="B191" t="s">
        <v>416</v>
      </c>
      <c r="C191">
        <v>34.700000000000003</v>
      </c>
      <c r="D191">
        <v>4.37</v>
      </c>
      <c r="E191" t="s">
        <v>19</v>
      </c>
      <c r="F191" t="s">
        <v>19</v>
      </c>
      <c r="G191" t="s">
        <v>20</v>
      </c>
      <c r="H191">
        <v>1</v>
      </c>
      <c r="I191" t="s">
        <v>20</v>
      </c>
      <c r="J191" t="s">
        <v>21</v>
      </c>
      <c r="K191" t="s">
        <v>39</v>
      </c>
      <c r="L191" s="1">
        <v>26885</v>
      </c>
      <c r="M191">
        <v>36541.550000000003</v>
      </c>
      <c r="N191" t="s">
        <v>29</v>
      </c>
      <c r="O191" t="s">
        <v>24</v>
      </c>
      <c r="P191" t="s">
        <v>42</v>
      </c>
      <c r="Q191">
        <v>49</v>
      </c>
    </row>
    <row r="192" spans="1:17" x14ac:dyDescent="0.3">
      <c r="A192" t="s">
        <v>417</v>
      </c>
      <c r="B192" t="s">
        <v>418</v>
      </c>
      <c r="C192">
        <v>38.28</v>
      </c>
      <c r="D192">
        <v>11.56</v>
      </c>
      <c r="E192" t="s">
        <v>32</v>
      </c>
      <c r="F192" t="s">
        <v>19</v>
      </c>
      <c r="G192" t="s">
        <v>19</v>
      </c>
      <c r="H192">
        <v>1</v>
      </c>
      <c r="I192" t="s">
        <v>20</v>
      </c>
      <c r="J192" t="s">
        <v>21</v>
      </c>
      <c r="K192" t="s">
        <v>22</v>
      </c>
      <c r="L192" s="1">
        <v>22969</v>
      </c>
      <c r="M192">
        <v>36445.550000000003</v>
      </c>
      <c r="N192" t="s">
        <v>29</v>
      </c>
      <c r="O192" t="s">
        <v>29</v>
      </c>
      <c r="P192" t="s">
        <v>42</v>
      </c>
      <c r="Q192">
        <v>60</v>
      </c>
    </row>
    <row r="193" spans="1:17" x14ac:dyDescent="0.3">
      <c r="A193" t="s">
        <v>419</v>
      </c>
      <c r="B193" t="s">
        <v>420</v>
      </c>
      <c r="C193">
        <v>33.57</v>
      </c>
      <c r="D193">
        <v>8.82</v>
      </c>
      <c r="E193" t="s">
        <v>32</v>
      </c>
      <c r="F193" t="s">
        <v>19</v>
      </c>
      <c r="G193" t="s">
        <v>19</v>
      </c>
      <c r="H193">
        <v>0</v>
      </c>
      <c r="I193" t="s">
        <v>20</v>
      </c>
      <c r="J193" t="s">
        <v>21</v>
      </c>
      <c r="K193" t="s">
        <v>22</v>
      </c>
      <c r="L193" s="1">
        <v>37964</v>
      </c>
      <c r="M193">
        <v>36397.58</v>
      </c>
      <c r="N193" t="s">
        <v>29</v>
      </c>
      <c r="O193" t="s">
        <v>24</v>
      </c>
      <c r="P193" t="s">
        <v>42</v>
      </c>
      <c r="Q193">
        <v>19</v>
      </c>
    </row>
    <row r="194" spans="1:17" x14ac:dyDescent="0.3">
      <c r="A194" t="s">
        <v>421</v>
      </c>
      <c r="B194" t="s">
        <v>422</v>
      </c>
      <c r="C194">
        <v>52.06</v>
      </c>
      <c r="D194">
        <v>4.6900000000000004</v>
      </c>
      <c r="E194" t="s">
        <v>19</v>
      </c>
      <c r="F194" t="s">
        <v>19</v>
      </c>
      <c r="G194" t="s">
        <v>19</v>
      </c>
      <c r="H194">
        <v>1</v>
      </c>
      <c r="I194" t="s">
        <v>20</v>
      </c>
      <c r="J194" t="s">
        <v>21</v>
      </c>
      <c r="K194" t="s">
        <v>39</v>
      </c>
      <c r="L194" s="1">
        <v>27550</v>
      </c>
      <c r="M194">
        <v>36350.71</v>
      </c>
      <c r="N194" t="s">
        <v>23</v>
      </c>
      <c r="O194" t="s">
        <v>29</v>
      </c>
      <c r="P194" t="s">
        <v>42</v>
      </c>
      <c r="Q194">
        <v>48</v>
      </c>
    </row>
    <row r="195" spans="1:17" x14ac:dyDescent="0.3">
      <c r="A195" t="s">
        <v>423</v>
      </c>
      <c r="B195" t="s">
        <v>424</v>
      </c>
      <c r="C195">
        <v>38.17</v>
      </c>
      <c r="D195">
        <v>4.53</v>
      </c>
      <c r="E195" t="s">
        <v>19</v>
      </c>
      <c r="F195" t="s">
        <v>32</v>
      </c>
      <c r="G195" t="s">
        <v>19</v>
      </c>
      <c r="H195">
        <v>1</v>
      </c>
      <c r="I195" t="s">
        <v>20</v>
      </c>
      <c r="J195" t="s">
        <v>21</v>
      </c>
      <c r="K195" t="s">
        <v>39</v>
      </c>
      <c r="L195" s="1">
        <v>24763</v>
      </c>
      <c r="M195">
        <v>36332.449999999997</v>
      </c>
      <c r="N195" t="s">
        <v>23</v>
      </c>
      <c r="O195" t="s">
        <v>24</v>
      </c>
      <c r="P195" t="s">
        <v>42</v>
      </c>
      <c r="Q195">
        <v>55</v>
      </c>
    </row>
    <row r="196" spans="1:17" x14ac:dyDescent="0.3">
      <c r="A196" t="s">
        <v>425</v>
      </c>
      <c r="B196" t="s">
        <v>426</v>
      </c>
      <c r="C196">
        <v>36.954999999999998</v>
      </c>
      <c r="D196">
        <v>5.84</v>
      </c>
      <c r="E196" t="s">
        <v>19</v>
      </c>
      <c r="F196" t="s">
        <v>19</v>
      </c>
      <c r="G196" t="s">
        <v>20</v>
      </c>
      <c r="H196">
        <v>1</v>
      </c>
      <c r="I196" t="s">
        <v>20</v>
      </c>
      <c r="J196" t="s">
        <v>21</v>
      </c>
      <c r="K196" t="s">
        <v>28</v>
      </c>
      <c r="L196" s="1">
        <v>33771</v>
      </c>
      <c r="M196">
        <v>36314.050000000003</v>
      </c>
      <c r="N196" t="s">
        <v>29</v>
      </c>
      <c r="O196" t="s">
        <v>29</v>
      </c>
      <c r="P196" t="s">
        <v>42</v>
      </c>
      <c r="Q196">
        <v>30</v>
      </c>
    </row>
    <row r="197" spans="1:17" x14ac:dyDescent="0.3">
      <c r="A197" t="s">
        <v>427</v>
      </c>
      <c r="B197" t="s">
        <v>428</v>
      </c>
      <c r="C197">
        <v>34.4</v>
      </c>
      <c r="D197">
        <v>4.9000000000000004</v>
      </c>
      <c r="E197" t="s">
        <v>19</v>
      </c>
      <c r="F197" t="s">
        <v>19</v>
      </c>
      <c r="G197" t="s">
        <v>20</v>
      </c>
      <c r="H197">
        <v>1</v>
      </c>
      <c r="I197" t="s">
        <v>20</v>
      </c>
      <c r="J197" t="s">
        <v>21</v>
      </c>
      <c r="K197" t="s">
        <v>39</v>
      </c>
      <c r="L197" s="1">
        <v>38346</v>
      </c>
      <c r="M197">
        <v>36307.800000000003</v>
      </c>
      <c r="N197" t="s">
        <v>23</v>
      </c>
      <c r="O197" t="s">
        <v>29</v>
      </c>
      <c r="P197" t="s">
        <v>25</v>
      </c>
      <c r="Q197">
        <v>18</v>
      </c>
    </row>
    <row r="198" spans="1:17" x14ac:dyDescent="0.3">
      <c r="A198" t="s">
        <v>429</v>
      </c>
      <c r="B198" t="s">
        <v>430</v>
      </c>
      <c r="C198">
        <v>31.73</v>
      </c>
      <c r="D198">
        <v>4.3</v>
      </c>
      <c r="E198" t="s">
        <v>19</v>
      </c>
      <c r="F198" t="s">
        <v>19</v>
      </c>
      <c r="G198" t="s">
        <v>19</v>
      </c>
      <c r="H198">
        <v>0</v>
      </c>
      <c r="I198" t="s">
        <v>20</v>
      </c>
      <c r="J198" t="s">
        <v>21</v>
      </c>
      <c r="K198" t="s">
        <v>39</v>
      </c>
      <c r="L198" s="1">
        <v>37869</v>
      </c>
      <c r="M198">
        <v>36219.410000000003</v>
      </c>
      <c r="N198" t="s">
        <v>23</v>
      </c>
      <c r="O198" t="s">
        <v>23</v>
      </c>
      <c r="P198" t="s">
        <v>33</v>
      </c>
      <c r="Q198">
        <v>19</v>
      </c>
    </row>
    <row r="199" spans="1:17" x14ac:dyDescent="0.3">
      <c r="A199" t="s">
        <v>431</v>
      </c>
      <c r="B199" t="s">
        <v>432</v>
      </c>
      <c r="C199">
        <v>36.64</v>
      </c>
      <c r="D199">
        <v>11.34</v>
      </c>
      <c r="E199" t="s">
        <v>19</v>
      </c>
      <c r="F199" t="s">
        <v>19</v>
      </c>
      <c r="G199" t="s">
        <v>19</v>
      </c>
      <c r="H199">
        <v>0</v>
      </c>
      <c r="I199" t="s">
        <v>20</v>
      </c>
      <c r="J199" t="s">
        <v>21</v>
      </c>
      <c r="K199" t="s">
        <v>22</v>
      </c>
      <c r="L199" s="1">
        <v>34331</v>
      </c>
      <c r="M199">
        <v>36197.699999999997</v>
      </c>
      <c r="N199" t="s">
        <v>23</v>
      </c>
      <c r="O199" t="s">
        <v>24</v>
      </c>
      <c r="P199" t="s">
        <v>42</v>
      </c>
      <c r="Q199">
        <v>29</v>
      </c>
    </row>
    <row r="200" spans="1:17" x14ac:dyDescent="0.3">
      <c r="A200" t="s">
        <v>433</v>
      </c>
      <c r="B200" t="s">
        <v>434</v>
      </c>
      <c r="C200">
        <v>36.85</v>
      </c>
      <c r="D200">
        <v>5.88</v>
      </c>
      <c r="E200" t="s">
        <v>19</v>
      </c>
      <c r="F200" t="s">
        <v>32</v>
      </c>
      <c r="G200" t="s">
        <v>19</v>
      </c>
      <c r="H200">
        <v>1</v>
      </c>
      <c r="I200" t="s">
        <v>20</v>
      </c>
      <c r="J200" t="s">
        <v>21</v>
      </c>
      <c r="K200" t="s">
        <v>28</v>
      </c>
      <c r="L200" s="1">
        <v>36434</v>
      </c>
      <c r="M200">
        <v>36189.1</v>
      </c>
      <c r="N200" t="s">
        <v>23</v>
      </c>
      <c r="O200" t="s">
        <v>24</v>
      </c>
      <c r="P200" t="s">
        <v>59</v>
      </c>
      <c r="Q200">
        <v>23</v>
      </c>
    </row>
    <row r="201" spans="1:17" x14ac:dyDescent="0.3">
      <c r="A201" t="s">
        <v>435</v>
      </c>
      <c r="B201" t="s">
        <v>436</v>
      </c>
      <c r="C201">
        <v>33.33</v>
      </c>
      <c r="D201">
        <v>5.01</v>
      </c>
      <c r="E201" t="s">
        <v>32</v>
      </c>
      <c r="F201" t="s">
        <v>19</v>
      </c>
      <c r="G201" t="s">
        <v>20</v>
      </c>
      <c r="H201">
        <v>1</v>
      </c>
      <c r="I201" t="s">
        <v>20</v>
      </c>
      <c r="J201" t="s">
        <v>21</v>
      </c>
      <c r="K201" t="s">
        <v>39</v>
      </c>
      <c r="L201" s="1">
        <v>27369</v>
      </c>
      <c r="M201">
        <v>36182.870000000003</v>
      </c>
      <c r="N201" t="s">
        <v>29</v>
      </c>
      <c r="O201" t="s">
        <v>24</v>
      </c>
      <c r="P201" t="s">
        <v>33</v>
      </c>
      <c r="Q201">
        <v>48</v>
      </c>
    </row>
    <row r="202" spans="1:17" x14ac:dyDescent="0.3">
      <c r="A202" t="s">
        <v>437</v>
      </c>
      <c r="B202" t="s">
        <v>438</v>
      </c>
      <c r="C202">
        <v>39.14</v>
      </c>
      <c r="D202">
        <v>4.4000000000000004</v>
      </c>
      <c r="E202" t="s">
        <v>19</v>
      </c>
      <c r="F202" t="s">
        <v>19</v>
      </c>
      <c r="G202" t="s">
        <v>20</v>
      </c>
      <c r="H202">
        <v>1</v>
      </c>
      <c r="I202" t="s">
        <v>20</v>
      </c>
      <c r="J202" t="s">
        <v>21</v>
      </c>
      <c r="K202" t="s">
        <v>39</v>
      </c>
      <c r="L202" s="1">
        <v>38229</v>
      </c>
      <c r="M202">
        <v>36149.480000000003</v>
      </c>
      <c r="N202" t="s">
        <v>29</v>
      </c>
      <c r="O202" t="s">
        <v>29</v>
      </c>
      <c r="P202" t="s">
        <v>25</v>
      </c>
      <c r="Q202">
        <v>18</v>
      </c>
    </row>
    <row r="203" spans="1:17" x14ac:dyDescent="0.3">
      <c r="A203" t="s">
        <v>439</v>
      </c>
      <c r="B203" t="s">
        <v>440</v>
      </c>
      <c r="C203">
        <v>32.9</v>
      </c>
      <c r="D203">
        <v>6.26</v>
      </c>
      <c r="E203" t="s">
        <v>32</v>
      </c>
      <c r="F203" t="s">
        <v>19</v>
      </c>
      <c r="G203" t="s">
        <v>19</v>
      </c>
      <c r="H203">
        <v>0</v>
      </c>
      <c r="I203" t="s">
        <v>20</v>
      </c>
      <c r="J203" t="s">
        <v>21</v>
      </c>
      <c r="K203" t="s">
        <v>28</v>
      </c>
      <c r="L203" s="1">
        <v>35593</v>
      </c>
      <c r="M203">
        <v>36124.57</v>
      </c>
      <c r="N203" t="s">
        <v>23</v>
      </c>
      <c r="O203" t="s">
        <v>24</v>
      </c>
      <c r="P203" t="s">
        <v>25</v>
      </c>
      <c r="Q203">
        <v>25</v>
      </c>
    </row>
    <row r="204" spans="1:17" x14ac:dyDescent="0.3">
      <c r="A204" t="s">
        <v>441</v>
      </c>
      <c r="B204" t="s">
        <v>442</v>
      </c>
      <c r="C204">
        <v>29.78</v>
      </c>
      <c r="D204">
        <v>10.27</v>
      </c>
      <c r="E204" t="s">
        <v>32</v>
      </c>
      <c r="F204" t="s">
        <v>19</v>
      </c>
      <c r="G204" t="s">
        <v>20</v>
      </c>
      <c r="H204">
        <v>1</v>
      </c>
      <c r="I204" t="s">
        <v>20</v>
      </c>
      <c r="J204" t="s">
        <v>333</v>
      </c>
      <c r="K204" t="s">
        <v>22</v>
      </c>
      <c r="L204" s="1">
        <v>29163</v>
      </c>
      <c r="M204">
        <v>36090.49</v>
      </c>
      <c r="N204" t="s">
        <v>29</v>
      </c>
      <c r="O204" t="s">
        <v>29</v>
      </c>
      <c r="P204" t="s">
        <v>42</v>
      </c>
      <c r="Q204">
        <v>43</v>
      </c>
    </row>
    <row r="205" spans="1:17" x14ac:dyDescent="0.3">
      <c r="A205" t="s">
        <v>443</v>
      </c>
      <c r="B205" t="s">
        <v>444</v>
      </c>
      <c r="C205">
        <v>32.78</v>
      </c>
      <c r="D205">
        <v>5.27</v>
      </c>
      <c r="E205" t="s">
        <v>19</v>
      </c>
      <c r="F205" t="s">
        <v>19</v>
      </c>
      <c r="G205" t="s">
        <v>19</v>
      </c>
      <c r="H205">
        <v>0</v>
      </c>
      <c r="I205" t="s">
        <v>20</v>
      </c>
      <c r="J205" t="s">
        <v>21</v>
      </c>
      <c r="K205" t="s">
        <v>39</v>
      </c>
      <c r="L205" s="1">
        <v>35297</v>
      </c>
      <c r="M205">
        <v>36085.22</v>
      </c>
      <c r="N205" t="s">
        <v>23</v>
      </c>
      <c r="O205" t="s">
        <v>23</v>
      </c>
      <c r="P205" t="s">
        <v>42</v>
      </c>
      <c r="Q205">
        <v>26</v>
      </c>
    </row>
    <row r="206" spans="1:17" x14ac:dyDescent="0.3">
      <c r="A206" t="s">
        <v>445</v>
      </c>
      <c r="B206" t="s">
        <v>446</v>
      </c>
      <c r="C206">
        <v>41.65</v>
      </c>
      <c r="D206">
        <v>10.73</v>
      </c>
      <c r="E206" t="s">
        <v>32</v>
      </c>
      <c r="F206" t="s">
        <v>19</v>
      </c>
      <c r="G206" t="s">
        <v>19</v>
      </c>
      <c r="H206">
        <v>0</v>
      </c>
      <c r="I206" t="s">
        <v>20</v>
      </c>
      <c r="J206" t="s">
        <v>21</v>
      </c>
      <c r="K206" t="s">
        <v>22</v>
      </c>
      <c r="L206" s="1">
        <v>23214</v>
      </c>
      <c r="M206">
        <v>36074.339999999997</v>
      </c>
      <c r="N206" t="s">
        <v>29</v>
      </c>
      <c r="O206" t="s">
        <v>23</v>
      </c>
      <c r="P206" t="s">
        <v>42</v>
      </c>
      <c r="Q206">
        <v>59</v>
      </c>
    </row>
    <row r="207" spans="1:17" x14ac:dyDescent="0.3">
      <c r="A207" t="s">
        <v>447</v>
      </c>
      <c r="B207" t="s">
        <v>448</v>
      </c>
      <c r="C207">
        <v>50.79</v>
      </c>
      <c r="D207">
        <v>4.45</v>
      </c>
      <c r="E207" t="s">
        <v>19</v>
      </c>
      <c r="F207" t="s">
        <v>19</v>
      </c>
      <c r="G207" t="s">
        <v>19</v>
      </c>
      <c r="H207">
        <v>1</v>
      </c>
      <c r="I207" t="s">
        <v>20</v>
      </c>
      <c r="J207" t="s">
        <v>21</v>
      </c>
      <c r="K207" t="s">
        <v>39</v>
      </c>
      <c r="L207" s="1">
        <v>36407</v>
      </c>
      <c r="M207">
        <v>36021.01</v>
      </c>
      <c r="N207" t="s">
        <v>29</v>
      </c>
      <c r="O207" t="s">
        <v>24</v>
      </c>
      <c r="P207" t="s">
        <v>25</v>
      </c>
      <c r="Q207">
        <v>23</v>
      </c>
    </row>
    <row r="208" spans="1:17" x14ac:dyDescent="0.3">
      <c r="A208" t="s">
        <v>449</v>
      </c>
      <c r="B208" t="s">
        <v>450</v>
      </c>
      <c r="C208">
        <v>35.43</v>
      </c>
      <c r="D208">
        <v>5.25</v>
      </c>
      <c r="E208" t="s">
        <v>32</v>
      </c>
      <c r="F208" t="s">
        <v>19</v>
      </c>
      <c r="G208" t="s">
        <v>19</v>
      </c>
      <c r="H208">
        <v>0</v>
      </c>
      <c r="I208" t="s">
        <v>20</v>
      </c>
      <c r="J208" t="s">
        <v>21</v>
      </c>
      <c r="K208" t="s">
        <v>39</v>
      </c>
      <c r="L208" s="1">
        <v>29912</v>
      </c>
      <c r="M208">
        <v>35952.65</v>
      </c>
      <c r="N208" t="s">
        <v>23</v>
      </c>
      <c r="O208" t="s">
        <v>24</v>
      </c>
      <c r="P208" t="s">
        <v>42</v>
      </c>
      <c r="Q208">
        <v>41</v>
      </c>
    </row>
    <row r="209" spans="1:17" x14ac:dyDescent="0.3">
      <c r="A209" t="s">
        <v>451</v>
      </c>
      <c r="B209" t="s">
        <v>452</v>
      </c>
      <c r="C209">
        <v>35.25</v>
      </c>
      <c r="D209">
        <v>9.51</v>
      </c>
      <c r="E209" t="s">
        <v>19</v>
      </c>
      <c r="F209" t="s">
        <v>19</v>
      </c>
      <c r="G209" t="s">
        <v>19</v>
      </c>
      <c r="H209">
        <v>0</v>
      </c>
      <c r="I209" t="s">
        <v>20</v>
      </c>
      <c r="J209" t="s">
        <v>21</v>
      </c>
      <c r="K209" t="s">
        <v>22</v>
      </c>
      <c r="L209" s="1">
        <v>33773</v>
      </c>
      <c r="M209">
        <v>35883.269999999997</v>
      </c>
      <c r="N209" t="s">
        <v>29</v>
      </c>
      <c r="O209" t="s">
        <v>23</v>
      </c>
      <c r="P209" t="s">
        <v>42</v>
      </c>
      <c r="Q209">
        <v>30</v>
      </c>
    </row>
    <row r="210" spans="1:17" x14ac:dyDescent="0.3">
      <c r="A210" t="s">
        <v>453</v>
      </c>
      <c r="B210" t="s">
        <v>454</v>
      </c>
      <c r="C210">
        <v>36.85</v>
      </c>
      <c r="D210">
        <v>11.12</v>
      </c>
      <c r="E210" t="s">
        <v>19</v>
      </c>
      <c r="F210" t="s">
        <v>19</v>
      </c>
      <c r="G210" t="s">
        <v>19</v>
      </c>
      <c r="H210">
        <v>0</v>
      </c>
      <c r="I210" t="s">
        <v>20</v>
      </c>
      <c r="J210" t="s">
        <v>21</v>
      </c>
      <c r="K210" t="s">
        <v>22</v>
      </c>
      <c r="L210" s="1">
        <v>28037</v>
      </c>
      <c r="M210">
        <v>35733.96</v>
      </c>
      <c r="N210" t="s">
        <v>29</v>
      </c>
      <c r="O210" t="s">
        <v>29</v>
      </c>
      <c r="P210" t="s">
        <v>42</v>
      </c>
      <c r="Q210">
        <v>46</v>
      </c>
    </row>
    <row r="211" spans="1:17" x14ac:dyDescent="0.3">
      <c r="A211" t="s">
        <v>455</v>
      </c>
      <c r="B211" t="s">
        <v>456</v>
      </c>
      <c r="C211">
        <v>31.02</v>
      </c>
      <c r="D211">
        <v>4.5599999999999996</v>
      </c>
      <c r="E211" t="s">
        <v>19</v>
      </c>
      <c r="F211" t="s">
        <v>32</v>
      </c>
      <c r="G211" t="s">
        <v>19</v>
      </c>
      <c r="H211">
        <v>1</v>
      </c>
      <c r="I211" t="s">
        <v>20</v>
      </c>
      <c r="J211" t="s">
        <v>21</v>
      </c>
      <c r="K211" t="s">
        <v>39</v>
      </c>
      <c r="L211" s="1">
        <v>27225</v>
      </c>
      <c r="M211">
        <v>35711.39</v>
      </c>
      <c r="N211" t="s">
        <v>29</v>
      </c>
      <c r="O211" t="s">
        <v>24</v>
      </c>
      <c r="P211" t="s">
        <v>33</v>
      </c>
      <c r="Q211">
        <v>48</v>
      </c>
    </row>
    <row r="212" spans="1:17" x14ac:dyDescent="0.3">
      <c r="A212" t="s">
        <v>457</v>
      </c>
      <c r="B212" t="s">
        <v>458</v>
      </c>
      <c r="C212">
        <v>35.6</v>
      </c>
      <c r="D212">
        <v>4.0199999999999996</v>
      </c>
      <c r="E212" t="s">
        <v>32</v>
      </c>
      <c r="F212" t="s">
        <v>32</v>
      </c>
      <c r="G212" t="s">
        <v>19</v>
      </c>
      <c r="H212">
        <v>2</v>
      </c>
      <c r="I212" t="s">
        <v>20</v>
      </c>
      <c r="J212" t="s">
        <v>21</v>
      </c>
      <c r="K212" t="s">
        <v>39</v>
      </c>
      <c r="L212" s="1">
        <v>28843</v>
      </c>
      <c r="M212">
        <v>35701.9</v>
      </c>
      <c r="N212" t="s">
        <v>29</v>
      </c>
      <c r="O212" t="s">
        <v>23</v>
      </c>
      <c r="P212" t="s">
        <v>42</v>
      </c>
      <c r="Q212">
        <v>44</v>
      </c>
    </row>
    <row r="213" spans="1:17" x14ac:dyDescent="0.3">
      <c r="A213" t="s">
        <v>459</v>
      </c>
      <c r="B213" t="s">
        <v>460</v>
      </c>
      <c r="C213">
        <v>34.39</v>
      </c>
      <c r="D213">
        <v>8.7200000000000006</v>
      </c>
      <c r="E213" t="s">
        <v>19</v>
      </c>
      <c r="F213" t="s">
        <v>19</v>
      </c>
      <c r="G213" t="s">
        <v>19</v>
      </c>
      <c r="H213">
        <v>0</v>
      </c>
      <c r="I213" t="s">
        <v>20</v>
      </c>
      <c r="J213" t="s">
        <v>21</v>
      </c>
      <c r="K213" t="s">
        <v>22</v>
      </c>
      <c r="L213" s="1">
        <v>36877</v>
      </c>
      <c r="M213">
        <v>35595.589999999997</v>
      </c>
      <c r="N213" t="s">
        <v>29</v>
      </c>
      <c r="O213" t="s">
        <v>24</v>
      </c>
      <c r="P213" t="s">
        <v>25</v>
      </c>
      <c r="Q213">
        <v>22</v>
      </c>
    </row>
    <row r="214" spans="1:17" x14ac:dyDescent="0.3">
      <c r="A214" t="s">
        <v>461</v>
      </c>
      <c r="B214" t="s">
        <v>462</v>
      </c>
      <c r="C214">
        <v>29.06</v>
      </c>
      <c r="D214">
        <v>6.25</v>
      </c>
      <c r="E214" t="s">
        <v>32</v>
      </c>
      <c r="F214" t="s">
        <v>19</v>
      </c>
      <c r="G214" t="s">
        <v>19</v>
      </c>
      <c r="H214">
        <v>1</v>
      </c>
      <c r="I214" t="s">
        <v>20</v>
      </c>
      <c r="J214" t="s">
        <v>333</v>
      </c>
      <c r="K214" t="s">
        <v>28</v>
      </c>
      <c r="L214" s="1">
        <v>33564</v>
      </c>
      <c r="M214">
        <v>38711</v>
      </c>
      <c r="N214" t="s">
        <v>23</v>
      </c>
      <c r="O214" t="s">
        <v>24</v>
      </c>
      <c r="P214" t="s">
        <v>42</v>
      </c>
      <c r="Q214">
        <v>31</v>
      </c>
    </row>
    <row r="215" spans="1:17" x14ac:dyDescent="0.3">
      <c r="A215" t="s">
        <v>463</v>
      </c>
      <c r="B215" t="s">
        <v>464</v>
      </c>
      <c r="C215">
        <v>35.799999999999997</v>
      </c>
      <c r="D215">
        <v>7.32</v>
      </c>
      <c r="E215" t="s">
        <v>19</v>
      </c>
      <c r="F215" t="s">
        <v>19</v>
      </c>
      <c r="G215" t="s">
        <v>19</v>
      </c>
      <c r="H215">
        <v>2</v>
      </c>
      <c r="I215" t="s">
        <v>20</v>
      </c>
      <c r="J215" t="s">
        <v>21</v>
      </c>
      <c r="K215" t="s">
        <v>22</v>
      </c>
      <c r="L215" s="1">
        <v>36849</v>
      </c>
      <c r="M215">
        <v>35585.58</v>
      </c>
      <c r="N215" t="s">
        <v>29</v>
      </c>
      <c r="O215" t="s">
        <v>24</v>
      </c>
      <c r="P215" t="s">
        <v>42</v>
      </c>
      <c r="Q215">
        <v>22</v>
      </c>
    </row>
    <row r="216" spans="1:17" x14ac:dyDescent="0.3">
      <c r="A216" t="s">
        <v>465</v>
      </c>
      <c r="B216" t="s">
        <v>466</v>
      </c>
      <c r="C216">
        <v>49.8</v>
      </c>
      <c r="D216">
        <v>4.24</v>
      </c>
      <c r="E216" t="s">
        <v>19</v>
      </c>
      <c r="F216" t="s">
        <v>19</v>
      </c>
      <c r="G216" t="s">
        <v>19</v>
      </c>
      <c r="H216">
        <v>1</v>
      </c>
      <c r="I216" t="s">
        <v>20</v>
      </c>
      <c r="J216" t="s">
        <v>21</v>
      </c>
      <c r="K216" t="s">
        <v>39</v>
      </c>
      <c r="L216" s="1">
        <v>26155</v>
      </c>
      <c r="M216">
        <v>35583.17</v>
      </c>
      <c r="N216" t="s">
        <v>23</v>
      </c>
      <c r="O216" t="s">
        <v>24</v>
      </c>
      <c r="P216" t="s">
        <v>42</v>
      </c>
      <c r="Q216">
        <v>51</v>
      </c>
    </row>
    <row r="217" spans="1:17" x14ac:dyDescent="0.3">
      <c r="A217" t="s">
        <v>467</v>
      </c>
      <c r="B217" t="s">
        <v>468</v>
      </c>
      <c r="C217">
        <v>35.71</v>
      </c>
      <c r="D217">
        <v>6.84</v>
      </c>
      <c r="E217" t="s">
        <v>19</v>
      </c>
      <c r="F217" t="s">
        <v>19</v>
      </c>
      <c r="G217" t="s">
        <v>19</v>
      </c>
      <c r="H217">
        <v>2</v>
      </c>
      <c r="I217" t="s">
        <v>20</v>
      </c>
      <c r="J217" t="s">
        <v>21</v>
      </c>
      <c r="K217" t="s">
        <v>22</v>
      </c>
      <c r="L217" s="1">
        <v>23618</v>
      </c>
      <c r="M217">
        <v>35573.26</v>
      </c>
      <c r="N217" t="s">
        <v>29</v>
      </c>
      <c r="O217" t="s">
        <v>23</v>
      </c>
      <c r="P217" t="s">
        <v>42</v>
      </c>
      <c r="Q217">
        <v>58</v>
      </c>
    </row>
    <row r="218" spans="1:17" x14ac:dyDescent="0.3">
      <c r="A218" t="s">
        <v>469</v>
      </c>
      <c r="B218" t="s">
        <v>470</v>
      </c>
      <c r="C218">
        <v>30.8</v>
      </c>
      <c r="D218">
        <v>5.23</v>
      </c>
      <c r="E218" t="s">
        <v>32</v>
      </c>
      <c r="F218" t="s">
        <v>19</v>
      </c>
      <c r="G218" t="s">
        <v>19</v>
      </c>
      <c r="H218">
        <v>1</v>
      </c>
      <c r="I218" t="s">
        <v>20</v>
      </c>
      <c r="J218" t="s">
        <v>21</v>
      </c>
      <c r="K218" t="s">
        <v>39</v>
      </c>
      <c r="L218" s="1">
        <v>26964</v>
      </c>
      <c r="M218">
        <v>35547.72</v>
      </c>
      <c r="N218" t="s">
        <v>23</v>
      </c>
      <c r="O218" t="s">
        <v>23</v>
      </c>
      <c r="P218" t="s">
        <v>42</v>
      </c>
      <c r="Q218">
        <v>49</v>
      </c>
    </row>
    <row r="219" spans="1:17" x14ac:dyDescent="0.3">
      <c r="A219" t="s">
        <v>471</v>
      </c>
      <c r="B219" t="s">
        <v>472</v>
      </c>
      <c r="C219">
        <v>33.69</v>
      </c>
      <c r="D219">
        <v>9.68</v>
      </c>
      <c r="E219" t="s">
        <v>19</v>
      </c>
      <c r="F219" t="s">
        <v>19</v>
      </c>
      <c r="G219" t="s">
        <v>19</v>
      </c>
      <c r="H219">
        <v>0</v>
      </c>
      <c r="I219" t="s">
        <v>20</v>
      </c>
      <c r="J219" t="s">
        <v>21</v>
      </c>
      <c r="K219" t="s">
        <v>22</v>
      </c>
      <c r="L219" s="1">
        <v>33860</v>
      </c>
      <c r="M219">
        <v>35547.47</v>
      </c>
      <c r="N219" t="s">
        <v>29</v>
      </c>
      <c r="O219" t="s">
        <v>24</v>
      </c>
      <c r="P219" t="s">
        <v>42</v>
      </c>
      <c r="Q219">
        <v>30</v>
      </c>
    </row>
    <row r="220" spans="1:17" x14ac:dyDescent="0.3">
      <c r="A220" t="s">
        <v>473</v>
      </c>
      <c r="B220" t="s">
        <v>474</v>
      </c>
      <c r="C220">
        <v>42.27</v>
      </c>
      <c r="D220">
        <v>6.05</v>
      </c>
      <c r="E220" t="s">
        <v>32</v>
      </c>
      <c r="F220" t="s">
        <v>19</v>
      </c>
      <c r="G220" t="s">
        <v>19</v>
      </c>
      <c r="H220">
        <v>1</v>
      </c>
      <c r="I220" t="s">
        <v>20</v>
      </c>
      <c r="J220" t="s">
        <v>21</v>
      </c>
      <c r="K220" t="s">
        <v>28</v>
      </c>
      <c r="L220" s="1">
        <v>27014</v>
      </c>
      <c r="M220">
        <v>35517.19</v>
      </c>
      <c r="N220" t="s">
        <v>29</v>
      </c>
      <c r="O220" t="s">
        <v>29</v>
      </c>
      <c r="P220" t="s">
        <v>42</v>
      </c>
      <c r="Q220">
        <v>49</v>
      </c>
    </row>
    <row r="221" spans="1:17" x14ac:dyDescent="0.3">
      <c r="A221" t="s">
        <v>475</v>
      </c>
      <c r="B221" t="s">
        <v>193</v>
      </c>
      <c r="C221">
        <v>53.25</v>
      </c>
      <c r="D221">
        <v>6.11</v>
      </c>
      <c r="E221" t="s">
        <v>32</v>
      </c>
      <c r="F221" t="s">
        <v>19</v>
      </c>
      <c r="G221" t="s">
        <v>20</v>
      </c>
      <c r="H221">
        <v>1</v>
      </c>
      <c r="I221" t="s">
        <v>20</v>
      </c>
      <c r="J221" t="s">
        <v>21</v>
      </c>
      <c r="K221" t="s">
        <v>28</v>
      </c>
      <c r="L221" s="1">
        <v>32467</v>
      </c>
      <c r="M221">
        <v>35491.64</v>
      </c>
      <c r="N221" t="s">
        <v>23</v>
      </c>
      <c r="O221" t="s">
        <v>29</v>
      </c>
      <c r="P221" t="s">
        <v>42</v>
      </c>
      <c r="Q221">
        <v>34</v>
      </c>
    </row>
    <row r="222" spans="1:17" x14ac:dyDescent="0.3">
      <c r="A222" t="s">
        <v>476</v>
      </c>
      <c r="B222" t="s">
        <v>477</v>
      </c>
      <c r="C222">
        <v>26.8</v>
      </c>
      <c r="D222">
        <v>10.93</v>
      </c>
      <c r="E222" t="s">
        <v>32</v>
      </c>
      <c r="F222" t="s">
        <v>19</v>
      </c>
      <c r="G222" t="s">
        <v>19</v>
      </c>
      <c r="H222">
        <v>0</v>
      </c>
      <c r="I222" t="s">
        <v>19</v>
      </c>
      <c r="J222" t="s">
        <v>333</v>
      </c>
      <c r="K222" t="s">
        <v>22</v>
      </c>
      <c r="L222" s="1">
        <v>26198</v>
      </c>
      <c r="M222">
        <v>35345.730000000003</v>
      </c>
      <c r="N222" t="s">
        <v>29</v>
      </c>
      <c r="O222" t="s">
        <v>24</v>
      </c>
      <c r="P222" t="s">
        <v>42</v>
      </c>
      <c r="Q222">
        <v>51</v>
      </c>
    </row>
    <row r="223" spans="1:17" x14ac:dyDescent="0.3">
      <c r="A223" t="s">
        <v>478</v>
      </c>
      <c r="B223" t="s">
        <v>479</v>
      </c>
      <c r="C223">
        <v>28.5</v>
      </c>
      <c r="D223">
        <v>5.12</v>
      </c>
      <c r="E223" t="s">
        <v>19</v>
      </c>
      <c r="F223" t="s">
        <v>19</v>
      </c>
      <c r="G223" t="s">
        <v>19</v>
      </c>
      <c r="H223">
        <v>1</v>
      </c>
      <c r="I223" t="s">
        <v>20</v>
      </c>
      <c r="J223" t="s">
        <v>333</v>
      </c>
      <c r="K223" t="s">
        <v>39</v>
      </c>
      <c r="L223" s="1">
        <v>32405</v>
      </c>
      <c r="M223">
        <v>35315.96</v>
      </c>
      <c r="N223" t="s">
        <v>29</v>
      </c>
      <c r="O223" t="s">
        <v>23</v>
      </c>
      <c r="P223" t="s">
        <v>42</v>
      </c>
      <c r="Q223">
        <v>34</v>
      </c>
    </row>
    <row r="224" spans="1:17" x14ac:dyDescent="0.3">
      <c r="A224" t="s">
        <v>480</v>
      </c>
      <c r="B224" t="s">
        <v>481</v>
      </c>
      <c r="C224">
        <v>22.895</v>
      </c>
      <c r="D224">
        <v>5.72</v>
      </c>
      <c r="E224" t="s">
        <v>19</v>
      </c>
      <c r="F224" t="s">
        <v>19</v>
      </c>
      <c r="G224" t="s">
        <v>19</v>
      </c>
      <c r="H224">
        <v>0</v>
      </c>
      <c r="I224" t="s">
        <v>20</v>
      </c>
      <c r="J224" t="s">
        <v>482</v>
      </c>
      <c r="K224" t="s">
        <v>28</v>
      </c>
      <c r="L224" s="1">
        <v>35620</v>
      </c>
      <c r="M224">
        <v>35302.089999999997</v>
      </c>
      <c r="N224" t="s">
        <v>23</v>
      </c>
      <c r="O224" t="s">
        <v>29</v>
      </c>
      <c r="P224" t="s">
        <v>42</v>
      </c>
      <c r="Q224">
        <v>25</v>
      </c>
    </row>
    <row r="225" spans="1:17" x14ac:dyDescent="0.3">
      <c r="A225" t="s">
        <v>483</v>
      </c>
      <c r="B225" t="s">
        <v>484</v>
      </c>
      <c r="C225">
        <v>34.06</v>
      </c>
      <c r="D225">
        <v>11.83</v>
      </c>
      <c r="E225" t="s">
        <v>32</v>
      </c>
      <c r="F225" t="s">
        <v>19</v>
      </c>
      <c r="G225" t="s">
        <v>19</v>
      </c>
      <c r="H225">
        <v>1</v>
      </c>
      <c r="I225" t="s">
        <v>20</v>
      </c>
      <c r="J225" t="s">
        <v>21</v>
      </c>
      <c r="K225" t="s">
        <v>22</v>
      </c>
      <c r="L225" s="1">
        <v>24836</v>
      </c>
      <c r="M225">
        <v>35160.129999999997</v>
      </c>
      <c r="N225" t="s">
        <v>29</v>
      </c>
      <c r="O225" t="s">
        <v>29</v>
      </c>
      <c r="P225" t="s">
        <v>42</v>
      </c>
      <c r="Q225">
        <v>55</v>
      </c>
    </row>
    <row r="226" spans="1:17" x14ac:dyDescent="0.3">
      <c r="A226" t="s">
        <v>485</v>
      </c>
      <c r="B226" t="s">
        <v>486</v>
      </c>
      <c r="C226">
        <v>36.409999999999997</v>
      </c>
      <c r="D226">
        <v>4.55</v>
      </c>
      <c r="E226" t="s">
        <v>19</v>
      </c>
      <c r="F226" t="s">
        <v>19</v>
      </c>
      <c r="G226" t="s">
        <v>19</v>
      </c>
      <c r="H226">
        <v>0</v>
      </c>
      <c r="I226" t="s">
        <v>20</v>
      </c>
      <c r="J226" t="s">
        <v>21</v>
      </c>
      <c r="K226" t="s">
        <v>39</v>
      </c>
      <c r="L226" s="1">
        <v>36151</v>
      </c>
      <c r="M226">
        <v>35147.53</v>
      </c>
      <c r="N226" t="s">
        <v>23</v>
      </c>
      <c r="O226" t="s">
        <v>23</v>
      </c>
      <c r="P226" t="s">
        <v>59</v>
      </c>
      <c r="Q226">
        <v>24</v>
      </c>
    </row>
    <row r="227" spans="1:17" x14ac:dyDescent="0.3">
      <c r="A227" t="s">
        <v>487</v>
      </c>
      <c r="B227" t="s">
        <v>161</v>
      </c>
      <c r="C227">
        <v>52.3</v>
      </c>
      <c r="D227">
        <v>4.87</v>
      </c>
      <c r="E227" t="s">
        <v>32</v>
      </c>
      <c r="F227" t="s">
        <v>19</v>
      </c>
      <c r="G227" t="s">
        <v>20</v>
      </c>
      <c r="H227">
        <v>1</v>
      </c>
      <c r="I227" t="s">
        <v>20</v>
      </c>
      <c r="J227" t="s">
        <v>21</v>
      </c>
      <c r="K227" t="s">
        <v>39</v>
      </c>
      <c r="L227" s="1">
        <v>28305</v>
      </c>
      <c r="M227">
        <v>35069.370000000003</v>
      </c>
      <c r="N227" t="s">
        <v>23</v>
      </c>
      <c r="O227" t="s">
        <v>23</v>
      </c>
      <c r="P227" t="s">
        <v>206</v>
      </c>
      <c r="Q227">
        <v>45</v>
      </c>
    </row>
    <row r="228" spans="1:17" x14ac:dyDescent="0.3">
      <c r="A228" t="s">
        <v>488</v>
      </c>
      <c r="B228" t="s">
        <v>489</v>
      </c>
      <c r="C228">
        <v>52.66</v>
      </c>
      <c r="D228">
        <v>4.45</v>
      </c>
      <c r="E228" t="s">
        <v>19</v>
      </c>
      <c r="F228" t="s">
        <v>19</v>
      </c>
      <c r="G228" t="s">
        <v>19</v>
      </c>
      <c r="H228">
        <v>1</v>
      </c>
      <c r="I228" t="s">
        <v>20</v>
      </c>
      <c r="J228" t="s">
        <v>21</v>
      </c>
      <c r="K228" t="s">
        <v>39</v>
      </c>
      <c r="L228" s="1">
        <v>27635</v>
      </c>
      <c r="M228">
        <v>35050.620000000003</v>
      </c>
      <c r="N228" t="s">
        <v>29</v>
      </c>
      <c r="O228" t="s">
        <v>23</v>
      </c>
      <c r="P228" t="s">
        <v>42</v>
      </c>
      <c r="Q228">
        <v>47</v>
      </c>
    </row>
    <row r="229" spans="1:17" x14ac:dyDescent="0.3">
      <c r="A229" t="s">
        <v>490</v>
      </c>
      <c r="B229" t="s">
        <v>491</v>
      </c>
      <c r="C229">
        <v>29.57</v>
      </c>
      <c r="D229">
        <v>9.42</v>
      </c>
      <c r="E229" t="s">
        <v>32</v>
      </c>
      <c r="F229" t="s">
        <v>19</v>
      </c>
      <c r="G229" t="s">
        <v>19</v>
      </c>
      <c r="H229">
        <v>0</v>
      </c>
      <c r="I229" t="s">
        <v>20</v>
      </c>
      <c r="J229" t="s">
        <v>333</v>
      </c>
      <c r="K229" t="s">
        <v>22</v>
      </c>
      <c r="L229" s="1">
        <v>30137</v>
      </c>
      <c r="M229">
        <v>35000.730000000003</v>
      </c>
      <c r="N229" t="s">
        <v>29</v>
      </c>
      <c r="O229" t="s">
        <v>24</v>
      </c>
      <c r="P229" t="s">
        <v>42</v>
      </c>
      <c r="Q229">
        <v>40</v>
      </c>
    </row>
    <row r="230" spans="1:17" x14ac:dyDescent="0.3">
      <c r="A230" t="s">
        <v>492</v>
      </c>
      <c r="B230" t="s">
        <v>493</v>
      </c>
      <c r="C230">
        <v>36.99</v>
      </c>
      <c r="D230">
        <v>5.37</v>
      </c>
      <c r="E230" t="s">
        <v>32</v>
      </c>
      <c r="F230" t="s">
        <v>19</v>
      </c>
      <c r="G230" t="s">
        <v>20</v>
      </c>
      <c r="H230">
        <v>1</v>
      </c>
      <c r="I230" t="s">
        <v>20</v>
      </c>
      <c r="J230" t="s">
        <v>21</v>
      </c>
      <c r="K230" t="s">
        <v>39</v>
      </c>
      <c r="L230" s="1">
        <v>35664</v>
      </c>
      <c r="M230">
        <v>34979.86</v>
      </c>
      <c r="N230" t="s">
        <v>29</v>
      </c>
      <c r="O230" t="s">
        <v>29</v>
      </c>
      <c r="P230" t="s">
        <v>42</v>
      </c>
      <c r="Q230">
        <v>25</v>
      </c>
    </row>
    <row r="231" spans="1:17" x14ac:dyDescent="0.3">
      <c r="A231" t="s">
        <v>494</v>
      </c>
      <c r="B231" t="s">
        <v>495</v>
      </c>
      <c r="C231">
        <v>31.4</v>
      </c>
      <c r="D231">
        <v>4.5999999999999996</v>
      </c>
      <c r="E231" t="s">
        <v>32</v>
      </c>
      <c r="F231" t="s">
        <v>19</v>
      </c>
      <c r="G231" t="s">
        <v>19</v>
      </c>
      <c r="H231">
        <v>1</v>
      </c>
      <c r="I231" t="s">
        <v>20</v>
      </c>
      <c r="J231" t="s">
        <v>21</v>
      </c>
      <c r="K231" t="s">
        <v>39</v>
      </c>
      <c r="L231" s="1">
        <v>36029</v>
      </c>
      <c r="M231">
        <v>34976.42</v>
      </c>
      <c r="N231" t="s">
        <v>29</v>
      </c>
      <c r="O231" t="s">
        <v>23</v>
      </c>
      <c r="P231" t="s">
        <v>42</v>
      </c>
      <c r="Q231">
        <v>24</v>
      </c>
    </row>
    <row r="232" spans="1:17" x14ac:dyDescent="0.3">
      <c r="A232" t="s">
        <v>496</v>
      </c>
      <c r="B232" t="s">
        <v>497</v>
      </c>
      <c r="C232">
        <v>34.9</v>
      </c>
      <c r="D232">
        <v>6.22</v>
      </c>
      <c r="E232" t="s">
        <v>19</v>
      </c>
      <c r="F232" t="s">
        <v>19</v>
      </c>
      <c r="G232" t="s">
        <v>20</v>
      </c>
      <c r="H232">
        <v>1</v>
      </c>
      <c r="I232" t="s">
        <v>20</v>
      </c>
      <c r="J232" t="s">
        <v>21</v>
      </c>
      <c r="K232" t="s">
        <v>28</v>
      </c>
      <c r="L232" s="1">
        <v>24752</v>
      </c>
      <c r="M232">
        <v>34975.68</v>
      </c>
      <c r="N232" t="s">
        <v>29</v>
      </c>
      <c r="O232" t="s">
        <v>29</v>
      </c>
      <c r="P232" t="s">
        <v>42</v>
      </c>
      <c r="Q232">
        <v>55</v>
      </c>
    </row>
    <row r="233" spans="1:17" x14ac:dyDescent="0.3">
      <c r="A233" t="s">
        <v>498</v>
      </c>
      <c r="B233" t="s">
        <v>499</v>
      </c>
      <c r="C233">
        <v>31.13</v>
      </c>
      <c r="D233">
        <v>4.5199999999999996</v>
      </c>
      <c r="E233" t="s">
        <v>32</v>
      </c>
      <c r="F233" t="s">
        <v>19</v>
      </c>
      <c r="G233" t="s">
        <v>19</v>
      </c>
      <c r="H233">
        <v>1</v>
      </c>
      <c r="I233" t="s">
        <v>20</v>
      </c>
      <c r="J233" t="s">
        <v>21</v>
      </c>
      <c r="K233" t="s">
        <v>39</v>
      </c>
      <c r="L233" s="1">
        <v>30526</v>
      </c>
      <c r="M233">
        <v>34940.61</v>
      </c>
      <c r="N233" t="s">
        <v>29</v>
      </c>
      <c r="O233" t="s">
        <v>24</v>
      </c>
      <c r="P233" t="s">
        <v>42</v>
      </c>
      <c r="Q233">
        <v>39</v>
      </c>
    </row>
    <row r="234" spans="1:17" x14ac:dyDescent="0.3">
      <c r="A234" t="s">
        <v>500</v>
      </c>
      <c r="B234" t="s">
        <v>501</v>
      </c>
      <c r="C234">
        <v>34.799999999999997</v>
      </c>
      <c r="D234">
        <v>6.18</v>
      </c>
      <c r="E234" t="s">
        <v>19</v>
      </c>
      <c r="F234" t="s">
        <v>19</v>
      </c>
      <c r="G234" t="s">
        <v>20</v>
      </c>
      <c r="H234">
        <v>1</v>
      </c>
      <c r="I234" t="s">
        <v>20</v>
      </c>
      <c r="J234" t="s">
        <v>21</v>
      </c>
      <c r="K234" t="s">
        <v>28</v>
      </c>
      <c r="L234" s="1">
        <v>34989</v>
      </c>
      <c r="M234">
        <v>34838.870000000003</v>
      </c>
      <c r="N234" t="s">
        <v>29</v>
      </c>
      <c r="O234" t="s">
        <v>24</v>
      </c>
      <c r="P234" t="s">
        <v>42</v>
      </c>
      <c r="Q234">
        <v>27</v>
      </c>
    </row>
    <row r="235" spans="1:17" x14ac:dyDescent="0.3">
      <c r="A235" t="s">
        <v>502</v>
      </c>
      <c r="B235" t="s">
        <v>503</v>
      </c>
      <c r="C235">
        <v>31.68</v>
      </c>
      <c r="D235">
        <v>4.4000000000000004</v>
      </c>
      <c r="E235" t="s">
        <v>19</v>
      </c>
      <c r="F235" t="s">
        <v>19</v>
      </c>
      <c r="G235" t="s">
        <v>19</v>
      </c>
      <c r="H235">
        <v>0</v>
      </c>
      <c r="I235" t="s">
        <v>20</v>
      </c>
      <c r="J235" t="s">
        <v>21</v>
      </c>
      <c r="K235" t="s">
        <v>39</v>
      </c>
      <c r="L235" s="1">
        <v>37881</v>
      </c>
      <c r="M235">
        <v>34828.65</v>
      </c>
      <c r="N235" t="s">
        <v>23</v>
      </c>
      <c r="O235" t="s">
        <v>24</v>
      </c>
      <c r="P235" t="s">
        <v>42</v>
      </c>
      <c r="Q235">
        <v>19</v>
      </c>
    </row>
    <row r="236" spans="1:17" x14ac:dyDescent="0.3">
      <c r="A236" t="s">
        <v>504</v>
      </c>
      <c r="B236" t="s">
        <v>301</v>
      </c>
      <c r="C236">
        <v>33.534999999999997</v>
      </c>
      <c r="D236">
        <v>6.23</v>
      </c>
      <c r="E236" t="s">
        <v>19</v>
      </c>
      <c r="F236" t="s">
        <v>32</v>
      </c>
      <c r="G236" t="s">
        <v>19</v>
      </c>
      <c r="H236">
        <v>1</v>
      </c>
      <c r="I236" t="s">
        <v>20</v>
      </c>
      <c r="J236" t="s">
        <v>21</v>
      </c>
      <c r="K236" t="s">
        <v>28</v>
      </c>
      <c r="L236" s="1">
        <v>35060</v>
      </c>
      <c r="M236">
        <v>34806.47</v>
      </c>
      <c r="N236" t="s">
        <v>23</v>
      </c>
      <c r="O236" t="s">
        <v>29</v>
      </c>
      <c r="P236" t="s">
        <v>25</v>
      </c>
      <c r="Q236">
        <v>27</v>
      </c>
    </row>
    <row r="237" spans="1:17" x14ac:dyDescent="0.3">
      <c r="A237" t="s">
        <v>505</v>
      </c>
      <c r="B237" t="s">
        <v>506</v>
      </c>
      <c r="C237">
        <v>31.92</v>
      </c>
      <c r="D237">
        <v>5.33</v>
      </c>
      <c r="E237" t="s">
        <v>32</v>
      </c>
      <c r="F237" t="s">
        <v>19</v>
      </c>
      <c r="G237" t="s">
        <v>19</v>
      </c>
      <c r="H237">
        <v>0</v>
      </c>
      <c r="I237" t="s">
        <v>20</v>
      </c>
      <c r="J237" t="s">
        <v>21</v>
      </c>
      <c r="K237" t="s">
        <v>39</v>
      </c>
      <c r="L237" s="1">
        <v>37805</v>
      </c>
      <c r="M237">
        <v>34779.620000000003</v>
      </c>
      <c r="N237" t="s">
        <v>23</v>
      </c>
      <c r="O237" t="s">
        <v>29</v>
      </c>
      <c r="P237" t="s">
        <v>42</v>
      </c>
      <c r="Q237">
        <v>19</v>
      </c>
    </row>
    <row r="238" spans="1:17" x14ac:dyDescent="0.3">
      <c r="A238" t="s">
        <v>507</v>
      </c>
      <c r="B238" t="s">
        <v>508</v>
      </c>
      <c r="C238">
        <v>32.700000000000003</v>
      </c>
      <c r="D238">
        <v>4.09</v>
      </c>
      <c r="E238" t="s">
        <v>19</v>
      </c>
      <c r="F238" t="s">
        <v>19</v>
      </c>
      <c r="G238" t="s">
        <v>19</v>
      </c>
      <c r="H238">
        <v>1</v>
      </c>
      <c r="I238" t="s">
        <v>20</v>
      </c>
      <c r="J238" t="s">
        <v>21</v>
      </c>
      <c r="K238" t="s">
        <v>39</v>
      </c>
      <c r="L238" s="1">
        <v>34522</v>
      </c>
      <c r="M238">
        <v>34672.15</v>
      </c>
      <c r="N238" t="s">
        <v>23</v>
      </c>
      <c r="O238" t="s">
        <v>24</v>
      </c>
      <c r="P238" t="s">
        <v>25</v>
      </c>
      <c r="Q238">
        <v>28</v>
      </c>
    </row>
    <row r="239" spans="1:17" x14ac:dyDescent="0.3">
      <c r="A239" t="s">
        <v>509</v>
      </c>
      <c r="B239" t="s">
        <v>510</v>
      </c>
      <c r="C239">
        <v>41.25</v>
      </c>
      <c r="D239">
        <v>5.19</v>
      </c>
      <c r="E239" t="s">
        <v>19</v>
      </c>
      <c r="F239" t="s">
        <v>19</v>
      </c>
      <c r="G239" t="s">
        <v>19</v>
      </c>
      <c r="H239">
        <v>0</v>
      </c>
      <c r="I239" t="s">
        <v>20</v>
      </c>
      <c r="J239" t="s">
        <v>21</v>
      </c>
      <c r="K239" t="s">
        <v>39</v>
      </c>
      <c r="L239" s="1">
        <v>38269</v>
      </c>
      <c r="M239">
        <v>34617.839999999997</v>
      </c>
      <c r="N239" t="s">
        <v>23</v>
      </c>
      <c r="O239" t="s">
        <v>24</v>
      </c>
      <c r="P239" t="s">
        <v>59</v>
      </c>
      <c r="Q239">
        <v>18</v>
      </c>
    </row>
    <row r="240" spans="1:17" x14ac:dyDescent="0.3">
      <c r="A240" t="s">
        <v>511</v>
      </c>
      <c r="B240" t="s">
        <v>512</v>
      </c>
      <c r="C240">
        <v>33.11</v>
      </c>
      <c r="D240">
        <v>4.12</v>
      </c>
      <c r="E240" t="s">
        <v>19</v>
      </c>
      <c r="F240" t="s">
        <v>19</v>
      </c>
      <c r="G240" t="s">
        <v>20</v>
      </c>
      <c r="H240">
        <v>1</v>
      </c>
      <c r="I240" t="s">
        <v>20</v>
      </c>
      <c r="J240" t="s">
        <v>21</v>
      </c>
      <c r="K240" t="s">
        <v>39</v>
      </c>
      <c r="L240" s="1">
        <v>28089</v>
      </c>
      <c r="M240">
        <v>34543.39</v>
      </c>
      <c r="N240" t="s">
        <v>29</v>
      </c>
      <c r="O240" t="s">
        <v>24</v>
      </c>
      <c r="P240" t="s">
        <v>42</v>
      </c>
      <c r="Q240">
        <v>46</v>
      </c>
    </row>
    <row r="241" spans="1:17" x14ac:dyDescent="0.3">
      <c r="A241" t="s">
        <v>513</v>
      </c>
      <c r="B241" t="s">
        <v>514</v>
      </c>
      <c r="C241">
        <v>36.159999999999997</v>
      </c>
      <c r="D241">
        <v>5.0999999999999996</v>
      </c>
      <c r="E241" t="s">
        <v>19</v>
      </c>
      <c r="F241" t="s">
        <v>19</v>
      </c>
      <c r="G241" t="s">
        <v>19</v>
      </c>
      <c r="H241">
        <v>1</v>
      </c>
      <c r="I241" t="s">
        <v>20</v>
      </c>
      <c r="J241" t="s">
        <v>21</v>
      </c>
      <c r="K241" t="s">
        <v>39</v>
      </c>
      <c r="L241" s="1">
        <v>35970</v>
      </c>
      <c r="M241">
        <v>34472.839999999997</v>
      </c>
      <c r="N241" t="s">
        <v>23</v>
      </c>
      <c r="O241" t="s">
        <v>24</v>
      </c>
      <c r="P241" t="s">
        <v>42</v>
      </c>
      <c r="Q241">
        <v>24</v>
      </c>
    </row>
    <row r="242" spans="1:17" x14ac:dyDescent="0.3">
      <c r="A242" t="s">
        <v>515</v>
      </c>
      <c r="B242" t="s">
        <v>516</v>
      </c>
      <c r="C242">
        <v>33.72</v>
      </c>
      <c r="D242">
        <v>6.21</v>
      </c>
      <c r="E242" t="s">
        <v>32</v>
      </c>
      <c r="F242" t="s">
        <v>19</v>
      </c>
      <c r="G242" t="s">
        <v>20</v>
      </c>
      <c r="H242">
        <v>1</v>
      </c>
      <c r="I242" t="s">
        <v>20</v>
      </c>
      <c r="J242" t="s">
        <v>21</v>
      </c>
      <c r="K242" t="s">
        <v>28</v>
      </c>
      <c r="L242" s="1">
        <v>33140</v>
      </c>
      <c r="M242">
        <v>34456.269999999997</v>
      </c>
      <c r="N242" t="s">
        <v>23</v>
      </c>
      <c r="O242" t="s">
        <v>29</v>
      </c>
      <c r="P242" t="s">
        <v>42</v>
      </c>
      <c r="Q242">
        <v>32</v>
      </c>
    </row>
    <row r="243" spans="1:17" x14ac:dyDescent="0.3">
      <c r="A243" t="s">
        <v>517</v>
      </c>
      <c r="B243" t="s">
        <v>518</v>
      </c>
      <c r="C243">
        <v>37.74</v>
      </c>
      <c r="D243">
        <v>9.5299999999999994</v>
      </c>
      <c r="E243" t="s">
        <v>32</v>
      </c>
      <c r="F243" t="s">
        <v>19</v>
      </c>
      <c r="G243" t="s">
        <v>19</v>
      </c>
      <c r="H243">
        <v>1</v>
      </c>
      <c r="I243" t="s">
        <v>20</v>
      </c>
      <c r="J243" t="s">
        <v>21</v>
      </c>
      <c r="K243" t="s">
        <v>22</v>
      </c>
      <c r="L243" s="1">
        <v>37899</v>
      </c>
      <c r="M243">
        <v>34439.86</v>
      </c>
      <c r="N243" t="s">
        <v>29</v>
      </c>
      <c r="O243" t="s">
        <v>23</v>
      </c>
      <c r="P243" t="s">
        <v>25</v>
      </c>
      <c r="Q243">
        <v>19</v>
      </c>
    </row>
    <row r="244" spans="1:17" x14ac:dyDescent="0.3">
      <c r="A244" t="s">
        <v>519</v>
      </c>
      <c r="B244" t="s">
        <v>520</v>
      </c>
      <c r="C244">
        <v>48.75</v>
      </c>
      <c r="D244">
        <v>4.6399999999999997</v>
      </c>
      <c r="E244" t="s">
        <v>32</v>
      </c>
      <c r="F244" t="s">
        <v>19</v>
      </c>
      <c r="G244" t="s">
        <v>19</v>
      </c>
      <c r="H244">
        <v>1</v>
      </c>
      <c r="I244" t="s">
        <v>20</v>
      </c>
      <c r="J244" t="s">
        <v>21</v>
      </c>
      <c r="K244" t="s">
        <v>39</v>
      </c>
      <c r="L244" s="1">
        <v>30956</v>
      </c>
      <c r="M244">
        <v>34402.22</v>
      </c>
      <c r="N244" t="s">
        <v>29</v>
      </c>
      <c r="O244" t="s">
        <v>24</v>
      </c>
      <c r="P244" t="s">
        <v>42</v>
      </c>
      <c r="Q244">
        <v>38</v>
      </c>
    </row>
    <row r="245" spans="1:17" x14ac:dyDescent="0.3">
      <c r="A245" t="s">
        <v>521</v>
      </c>
      <c r="B245" t="s">
        <v>522</v>
      </c>
      <c r="C245">
        <v>31.065000000000001</v>
      </c>
      <c r="D245">
        <v>5.05</v>
      </c>
      <c r="E245" t="s">
        <v>19</v>
      </c>
      <c r="F245" t="s">
        <v>19</v>
      </c>
      <c r="G245" t="s">
        <v>19</v>
      </c>
      <c r="H245">
        <v>1</v>
      </c>
      <c r="I245" t="s">
        <v>20</v>
      </c>
      <c r="J245" t="s">
        <v>21</v>
      </c>
      <c r="K245" t="s">
        <v>39</v>
      </c>
      <c r="L245" s="1">
        <v>30591</v>
      </c>
      <c r="M245">
        <v>34307.22</v>
      </c>
      <c r="N245" t="s">
        <v>29</v>
      </c>
      <c r="O245" t="s">
        <v>29</v>
      </c>
      <c r="P245" t="s">
        <v>33</v>
      </c>
      <c r="Q245">
        <v>39</v>
      </c>
    </row>
    <row r="246" spans="1:17" x14ac:dyDescent="0.3">
      <c r="A246" t="s">
        <v>523</v>
      </c>
      <c r="B246" t="s">
        <v>524</v>
      </c>
      <c r="C246">
        <v>23.55</v>
      </c>
      <c r="D246">
        <v>10.38</v>
      </c>
      <c r="E246" t="s">
        <v>19</v>
      </c>
      <c r="F246" t="s">
        <v>19</v>
      </c>
      <c r="G246" t="s">
        <v>19</v>
      </c>
      <c r="H246">
        <v>0</v>
      </c>
      <c r="I246" t="s">
        <v>20</v>
      </c>
      <c r="J246" t="s">
        <v>482</v>
      </c>
      <c r="K246" t="s">
        <v>22</v>
      </c>
      <c r="L246" s="1">
        <v>38292</v>
      </c>
      <c r="M246">
        <v>34303.17</v>
      </c>
      <c r="N246" t="s">
        <v>23</v>
      </c>
      <c r="O246" t="s">
        <v>24</v>
      </c>
      <c r="P246" t="s">
        <v>25</v>
      </c>
      <c r="Q246">
        <v>18</v>
      </c>
    </row>
    <row r="247" spans="1:17" x14ac:dyDescent="0.3">
      <c r="A247" t="s">
        <v>525</v>
      </c>
      <c r="B247" t="s">
        <v>526</v>
      </c>
      <c r="C247">
        <v>30.18</v>
      </c>
      <c r="D247">
        <v>8.31</v>
      </c>
      <c r="E247" t="s">
        <v>32</v>
      </c>
      <c r="F247" t="s">
        <v>19</v>
      </c>
      <c r="G247" t="s">
        <v>19</v>
      </c>
      <c r="H247">
        <v>1</v>
      </c>
      <c r="I247" t="s">
        <v>20</v>
      </c>
      <c r="J247" t="s">
        <v>21</v>
      </c>
      <c r="K247" t="s">
        <v>22</v>
      </c>
      <c r="L247" s="1">
        <v>31696</v>
      </c>
      <c r="M247">
        <v>34293.120000000003</v>
      </c>
      <c r="N247" t="s">
        <v>23</v>
      </c>
      <c r="O247" t="s">
        <v>29</v>
      </c>
      <c r="P247" t="s">
        <v>42</v>
      </c>
      <c r="Q247">
        <v>36</v>
      </c>
    </row>
    <row r="248" spans="1:17" x14ac:dyDescent="0.3">
      <c r="A248" t="s">
        <v>527</v>
      </c>
      <c r="B248" t="s">
        <v>528</v>
      </c>
      <c r="C248">
        <v>29.94</v>
      </c>
      <c r="D248">
        <v>7.59</v>
      </c>
      <c r="E248" t="s">
        <v>19</v>
      </c>
      <c r="F248" t="s">
        <v>19</v>
      </c>
      <c r="G248" t="s">
        <v>19</v>
      </c>
      <c r="H248">
        <v>0</v>
      </c>
      <c r="I248" t="s">
        <v>20</v>
      </c>
      <c r="J248" t="s">
        <v>333</v>
      </c>
      <c r="K248" t="s">
        <v>22</v>
      </c>
      <c r="L248" s="1">
        <v>35002</v>
      </c>
      <c r="M248">
        <v>34289.43</v>
      </c>
      <c r="N248" t="s">
        <v>23</v>
      </c>
      <c r="O248" t="s">
        <v>23</v>
      </c>
      <c r="P248" t="s">
        <v>42</v>
      </c>
      <c r="Q248">
        <v>27</v>
      </c>
    </row>
    <row r="249" spans="1:17" x14ac:dyDescent="0.3">
      <c r="A249" t="s">
        <v>529</v>
      </c>
      <c r="B249" t="s">
        <v>530</v>
      </c>
      <c r="C249">
        <v>31.4</v>
      </c>
      <c r="D249">
        <v>5.49</v>
      </c>
      <c r="E249" t="s">
        <v>19</v>
      </c>
      <c r="F249" t="s">
        <v>19</v>
      </c>
      <c r="G249" t="s">
        <v>19</v>
      </c>
      <c r="H249">
        <v>0</v>
      </c>
      <c r="I249" t="s">
        <v>20</v>
      </c>
      <c r="J249" t="s">
        <v>21</v>
      </c>
      <c r="K249" t="s">
        <v>39</v>
      </c>
      <c r="L249" s="1">
        <v>35957</v>
      </c>
      <c r="M249">
        <v>34254.050000000003</v>
      </c>
      <c r="N249" t="s">
        <v>23</v>
      </c>
      <c r="O249" t="s">
        <v>24</v>
      </c>
      <c r="P249" t="s">
        <v>361</v>
      </c>
      <c r="Q249">
        <v>24</v>
      </c>
    </row>
    <row r="250" spans="1:17" x14ac:dyDescent="0.3">
      <c r="A250" t="s">
        <v>531</v>
      </c>
      <c r="B250" t="s">
        <v>532</v>
      </c>
      <c r="C250">
        <v>53.06</v>
      </c>
      <c r="D250">
        <v>11.68</v>
      </c>
      <c r="E250" t="s">
        <v>19</v>
      </c>
      <c r="F250" t="s">
        <v>19</v>
      </c>
      <c r="G250" t="s">
        <v>19</v>
      </c>
      <c r="H250">
        <v>0</v>
      </c>
      <c r="I250" t="s">
        <v>20</v>
      </c>
      <c r="J250" t="s">
        <v>21</v>
      </c>
      <c r="K250" t="s">
        <v>22</v>
      </c>
      <c r="L250" s="1">
        <v>22832</v>
      </c>
      <c r="M250">
        <v>34218.019999999997</v>
      </c>
      <c r="N250" t="s">
        <v>23</v>
      </c>
      <c r="O250" t="s">
        <v>23</v>
      </c>
      <c r="P250" t="s">
        <v>42</v>
      </c>
      <c r="Q250">
        <v>60</v>
      </c>
    </row>
    <row r="251" spans="1:17" x14ac:dyDescent="0.3">
      <c r="A251" t="s">
        <v>533</v>
      </c>
      <c r="B251" t="s">
        <v>534</v>
      </c>
      <c r="C251">
        <v>30.25</v>
      </c>
      <c r="D251">
        <v>4.1900000000000004</v>
      </c>
      <c r="E251" t="s">
        <v>19</v>
      </c>
      <c r="F251" t="s">
        <v>19</v>
      </c>
      <c r="G251" t="s">
        <v>19</v>
      </c>
      <c r="H251">
        <v>2</v>
      </c>
      <c r="I251" t="s">
        <v>20</v>
      </c>
      <c r="J251" t="s">
        <v>21</v>
      </c>
      <c r="K251" t="s">
        <v>39</v>
      </c>
      <c r="L251" s="1">
        <v>27596</v>
      </c>
      <c r="M251">
        <v>34210.33</v>
      </c>
      <c r="N251" t="s">
        <v>29</v>
      </c>
      <c r="O251" t="s">
        <v>23</v>
      </c>
      <c r="P251" t="s">
        <v>33</v>
      </c>
      <c r="Q251">
        <v>47</v>
      </c>
    </row>
    <row r="252" spans="1:17" x14ac:dyDescent="0.3">
      <c r="A252" t="s">
        <v>535</v>
      </c>
      <c r="B252" t="s">
        <v>536</v>
      </c>
      <c r="C252">
        <v>46.68</v>
      </c>
      <c r="D252">
        <v>4.01</v>
      </c>
      <c r="E252" t="s">
        <v>19</v>
      </c>
      <c r="F252" t="s">
        <v>19</v>
      </c>
      <c r="G252" t="s">
        <v>19</v>
      </c>
      <c r="H252">
        <v>0</v>
      </c>
      <c r="I252" t="s">
        <v>20</v>
      </c>
      <c r="J252" t="s">
        <v>21</v>
      </c>
      <c r="K252" t="s">
        <v>39</v>
      </c>
      <c r="L252" s="1">
        <v>26170</v>
      </c>
      <c r="M252">
        <v>34205.07</v>
      </c>
      <c r="N252" t="s">
        <v>29</v>
      </c>
      <c r="O252" t="s">
        <v>29</v>
      </c>
      <c r="P252" t="s">
        <v>42</v>
      </c>
      <c r="Q252">
        <v>51</v>
      </c>
    </row>
    <row r="253" spans="1:17" x14ac:dyDescent="0.3">
      <c r="A253" t="s">
        <v>537</v>
      </c>
      <c r="B253" t="s">
        <v>538</v>
      </c>
      <c r="C253">
        <v>30.4</v>
      </c>
      <c r="D253">
        <v>5.91</v>
      </c>
      <c r="E253" t="s">
        <v>19</v>
      </c>
      <c r="F253" t="s">
        <v>32</v>
      </c>
      <c r="G253" t="s">
        <v>19</v>
      </c>
      <c r="H253">
        <v>2</v>
      </c>
      <c r="I253" t="s">
        <v>20</v>
      </c>
      <c r="J253" t="s">
        <v>21</v>
      </c>
      <c r="K253" t="s">
        <v>28</v>
      </c>
      <c r="L253" s="1">
        <v>36470</v>
      </c>
      <c r="M253">
        <v>34166.269999999997</v>
      </c>
      <c r="N253" t="s">
        <v>29</v>
      </c>
      <c r="O253" t="s">
        <v>24</v>
      </c>
      <c r="P253" t="s">
        <v>42</v>
      </c>
      <c r="Q253">
        <v>23</v>
      </c>
    </row>
    <row r="254" spans="1:17" x14ac:dyDescent="0.3">
      <c r="A254" t="s">
        <v>539</v>
      </c>
      <c r="B254" t="s">
        <v>540</v>
      </c>
      <c r="C254">
        <v>30.2</v>
      </c>
      <c r="D254">
        <v>4.47</v>
      </c>
      <c r="E254" t="s">
        <v>32</v>
      </c>
      <c r="F254" t="s">
        <v>19</v>
      </c>
      <c r="G254" t="s">
        <v>20</v>
      </c>
      <c r="H254">
        <v>1</v>
      </c>
      <c r="I254" t="s">
        <v>20</v>
      </c>
      <c r="J254" t="s">
        <v>21</v>
      </c>
      <c r="K254" t="s">
        <v>39</v>
      </c>
      <c r="L254" s="1">
        <v>37616</v>
      </c>
      <c r="M254">
        <v>34084.68</v>
      </c>
      <c r="N254" t="s">
        <v>29</v>
      </c>
      <c r="O254" t="s">
        <v>24</v>
      </c>
      <c r="P254" t="s">
        <v>42</v>
      </c>
      <c r="Q254">
        <v>20</v>
      </c>
    </row>
    <row r="255" spans="1:17" x14ac:dyDescent="0.3">
      <c r="A255" t="s">
        <v>541</v>
      </c>
      <c r="B255" t="s">
        <v>542</v>
      </c>
      <c r="C255">
        <v>51.18</v>
      </c>
      <c r="D255">
        <v>4.5599999999999996</v>
      </c>
      <c r="E255" t="s">
        <v>32</v>
      </c>
      <c r="F255" t="s">
        <v>32</v>
      </c>
      <c r="G255" t="s">
        <v>19</v>
      </c>
      <c r="H255">
        <v>2</v>
      </c>
      <c r="I255" t="s">
        <v>20</v>
      </c>
      <c r="J255" t="s">
        <v>21</v>
      </c>
      <c r="K255" t="s">
        <v>39</v>
      </c>
      <c r="L255" s="1">
        <v>26506</v>
      </c>
      <c r="M255">
        <v>34053.360000000001</v>
      </c>
      <c r="N255" t="s">
        <v>29</v>
      </c>
      <c r="O255" t="s">
        <v>29</v>
      </c>
      <c r="P255" t="s">
        <v>42</v>
      </c>
      <c r="Q255">
        <v>50</v>
      </c>
    </row>
    <row r="256" spans="1:17" x14ac:dyDescent="0.3">
      <c r="A256" t="s">
        <v>543</v>
      </c>
      <c r="B256" t="s">
        <v>544</v>
      </c>
      <c r="C256">
        <v>22.18</v>
      </c>
      <c r="D256">
        <v>9.9</v>
      </c>
      <c r="E256" t="s">
        <v>19</v>
      </c>
      <c r="F256" t="s">
        <v>19</v>
      </c>
      <c r="G256" t="s">
        <v>19</v>
      </c>
      <c r="H256">
        <v>0</v>
      </c>
      <c r="I256" t="s">
        <v>20</v>
      </c>
      <c r="J256" t="s">
        <v>482</v>
      </c>
      <c r="K256" t="s">
        <v>22</v>
      </c>
      <c r="L256" s="1">
        <v>34602</v>
      </c>
      <c r="M256">
        <v>33975.47</v>
      </c>
      <c r="N256" t="s">
        <v>29</v>
      </c>
      <c r="O256" t="s">
        <v>29</v>
      </c>
      <c r="P256" t="s">
        <v>42</v>
      </c>
      <c r="Q256">
        <v>28</v>
      </c>
    </row>
    <row r="257" spans="1:17" x14ac:dyDescent="0.3">
      <c r="A257" t="s">
        <v>545</v>
      </c>
      <c r="B257" t="s">
        <v>546</v>
      </c>
      <c r="C257">
        <v>31.92</v>
      </c>
      <c r="D257">
        <v>5.1100000000000003</v>
      </c>
      <c r="E257" t="s">
        <v>19</v>
      </c>
      <c r="F257" t="s">
        <v>19</v>
      </c>
      <c r="G257" t="s">
        <v>20</v>
      </c>
      <c r="H257">
        <v>1</v>
      </c>
      <c r="I257" t="s">
        <v>20</v>
      </c>
      <c r="J257" t="s">
        <v>21</v>
      </c>
      <c r="K257" t="s">
        <v>39</v>
      </c>
      <c r="L257" s="1">
        <v>36887</v>
      </c>
      <c r="M257">
        <v>33907.550000000003</v>
      </c>
      <c r="N257" t="s">
        <v>29</v>
      </c>
      <c r="O257" t="s">
        <v>29</v>
      </c>
      <c r="P257" t="s">
        <v>33</v>
      </c>
      <c r="Q257">
        <v>22</v>
      </c>
    </row>
    <row r="258" spans="1:17" x14ac:dyDescent="0.3">
      <c r="A258" t="s">
        <v>547</v>
      </c>
      <c r="B258" t="s">
        <v>548</v>
      </c>
      <c r="C258">
        <v>31.73</v>
      </c>
      <c r="D258">
        <v>5.73</v>
      </c>
      <c r="E258" t="s">
        <v>19</v>
      </c>
      <c r="F258" t="s">
        <v>32</v>
      </c>
      <c r="G258" t="s">
        <v>19</v>
      </c>
      <c r="H258">
        <v>1</v>
      </c>
      <c r="I258" t="s">
        <v>20</v>
      </c>
      <c r="J258" t="s">
        <v>21</v>
      </c>
      <c r="K258" t="s">
        <v>28</v>
      </c>
      <c r="L258" s="1">
        <v>35651</v>
      </c>
      <c r="M258">
        <v>33900.65</v>
      </c>
      <c r="N258" t="s">
        <v>29</v>
      </c>
      <c r="O258" t="s">
        <v>24</v>
      </c>
      <c r="P258" t="s">
        <v>42</v>
      </c>
      <c r="Q258">
        <v>25</v>
      </c>
    </row>
    <row r="259" spans="1:17" x14ac:dyDescent="0.3">
      <c r="A259" t="s">
        <v>549</v>
      </c>
      <c r="B259" t="s">
        <v>550</v>
      </c>
      <c r="C259">
        <v>45.52</v>
      </c>
      <c r="D259">
        <v>6.04</v>
      </c>
      <c r="E259" t="s">
        <v>19</v>
      </c>
      <c r="F259" t="s">
        <v>19</v>
      </c>
      <c r="G259" t="s">
        <v>20</v>
      </c>
      <c r="H259">
        <v>1</v>
      </c>
      <c r="I259" t="s">
        <v>20</v>
      </c>
      <c r="J259" t="s">
        <v>21</v>
      </c>
      <c r="K259" t="s">
        <v>28</v>
      </c>
      <c r="L259" s="1">
        <v>36825</v>
      </c>
      <c r="M259">
        <v>33829.39</v>
      </c>
      <c r="N259" t="s">
        <v>29</v>
      </c>
      <c r="O259" t="s">
        <v>24</v>
      </c>
      <c r="P259" t="s">
        <v>42</v>
      </c>
      <c r="Q259">
        <v>22</v>
      </c>
    </row>
    <row r="260" spans="1:17" x14ac:dyDescent="0.3">
      <c r="A260" t="s">
        <v>551</v>
      </c>
      <c r="B260" t="s">
        <v>552</v>
      </c>
      <c r="C260">
        <v>52.81</v>
      </c>
      <c r="D260">
        <v>5.19</v>
      </c>
      <c r="E260" t="s">
        <v>19</v>
      </c>
      <c r="F260" t="s">
        <v>19</v>
      </c>
      <c r="G260" t="s">
        <v>20</v>
      </c>
      <c r="H260">
        <v>1</v>
      </c>
      <c r="I260" t="s">
        <v>20</v>
      </c>
      <c r="J260" t="s">
        <v>21</v>
      </c>
      <c r="K260" t="s">
        <v>39</v>
      </c>
      <c r="L260" s="1">
        <v>22991</v>
      </c>
      <c r="M260">
        <v>33753.32</v>
      </c>
      <c r="N260" t="s">
        <v>23</v>
      </c>
      <c r="O260" t="s">
        <v>24</v>
      </c>
      <c r="P260" t="s">
        <v>42</v>
      </c>
      <c r="Q260">
        <v>60</v>
      </c>
    </row>
    <row r="261" spans="1:17" x14ac:dyDescent="0.3">
      <c r="A261" t="s">
        <v>553</v>
      </c>
      <c r="B261" t="s">
        <v>554</v>
      </c>
      <c r="C261">
        <v>33.58</v>
      </c>
      <c r="D261">
        <v>5.56</v>
      </c>
      <c r="E261" t="s">
        <v>19</v>
      </c>
      <c r="F261" t="s">
        <v>19</v>
      </c>
      <c r="G261" t="s">
        <v>19</v>
      </c>
      <c r="H261">
        <v>1</v>
      </c>
      <c r="I261" t="s">
        <v>20</v>
      </c>
      <c r="J261" t="s">
        <v>21</v>
      </c>
      <c r="K261" t="s">
        <v>39</v>
      </c>
      <c r="L261" s="1">
        <v>37876</v>
      </c>
      <c r="M261">
        <v>33750.29</v>
      </c>
      <c r="N261" t="s">
        <v>23</v>
      </c>
      <c r="O261" t="s">
        <v>24</v>
      </c>
      <c r="P261" t="s">
        <v>33</v>
      </c>
      <c r="Q261">
        <v>19</v>
      </c>
    </row>
    <row r="262" spans="1:17" x14ac:dyDescent="0.3">
      <c r="A262" t="s">
        <v>555</v>
      </c>
      <c r="B262" t="s">
        <v>556</v>
      </c>
      <c r="C262">
        <v>30.684999999999999</v>
      </c>
      <c r="D262">
        <v>8.23</v>
      </c>
      <c r="E262" t="s">
        <v>19</v>
      </c>
      <c r="F262" t="s">
        <v>19</v>
      </c>
      <c r="G262" t="s">
        <v>19</v>
      </c>
      <c r="H262">
        <v>0</v>
      </c>
      <c r="I262" t="s">
        <v>20</v>
      </c>
      <c r="J262" t="s">
        <v>21</v>
      </c>
      <c r="K262" t="s">
        <v>22</v>
      </c>
      <c r="L262" s="1">
        <v>38292</v>
      </c>
      <c r="M262">
        <v>33732.69</v>
      </c>
      <c r="N262" t="s">
        <v>23</v>
      </c>
      <c r="O262" t="s">
        <v>23</v>
      </c>
      <c r="P262" t="s">
        <v>206</v>
      </c>
      <c r="Q262">
        <v>18</v>
      </c>
    </row>
    <row r="263" spans="1:17" x14ac:dyDescent="0.3">
      <c r="A263" t="s">
        <v>557</v>
      </c>
      <c r="B263" t="s">
        <v>558</v>
      </c>
      <c r="C263">
        <v>37.524999999999999</v>
      </c>
      <c r="D263">
        <v>9.0299999999999994</v>
      </c>
      <c r="E263" t="s">
        <v>32</v>
      </c>
      <c r="F263" t="s">
        <v>19</v>
      </c>
      <c r="G263" t="s">
        <v>19</v>
      </c>
      <c r="H263">
        <v>2</v>
      </c>
      <c r="I263" t="s">
        <v>19</v>
      </c>
      <c r="J263" t="s">
        <v>21</v>
      </c>
      <c r="K263" t="s">
        <v>22</v>
      </c>
      <c r="L263" s="1">
        <v>34301</v>
      </c>
      <c r="M263">
        <v>33707.550000000003</v>
      </c>
      <c r="N263" t="s">
        <v>29</v>
      </c>
      <c r="O263" t="s">
        <v>29</v>
      </c>
      <c r="P263" t="s">
        <v>42</v>
      </c>
      <c r="Q263">
        <v>29</v>
      </c>
    </row>
    <row r="264" spans="1:17" x14ac:dyDescent="0.3">
      <c r="A264" t="s">
        <v>559</v>
      </c>
      <c r="B264" t="s">
        <v>560</v>
      </c>
      <c r="C264">
        <v>34.5</v>
      </c>
      <c r="D264">
        <v>4.07</v>
      </c>
      <c r="E264" t="s">
        <v>32</v>
      </c>
      <c r="F264" t="s">
        <v>19</v>
      </c>
      <c r="G264" t="s">
        <v>19</v>
      </c>
      <c r="H264">
        <v>0</v>
      </c>
      <c r="I264" t="s">
        <v>20</v>
      </c>
      <c r="J264" t="s">
        <v>21</v>
      </c>
      <c r="K264" t="s">
        <v>39</v>
      </c>
      <c r="L264" s="1">
        <v>37873</v>
      </c>
      <c r="M264">
        <v>33611.71</v>
      </c>
      <c r="N264" t="s">
        <v>23</v>
      </c>
      <c r="O264" t="s">
        <v>29</v>
      </c>
      <c r="P264" t="s">
        <v>42</v>
      </c>
      <c r="Q264">
        <v>19</v>
      </c>
    </row>
    <row r="265" spans="1:17" x14ac:dyDescent="0.3">
      <c r="A265" t="s">
        <v>561</v>
      </c>
      <c r="B265" t="s">
        <v>562</v>
      </c>
      <c r="C265">
        <v>28.16</v>
      </c>
      <c r="D265">
        <v>5.77</v>
      </c>
      <c r="E265" t="s">
        <v>19</v>
      </c>
      <c r="F265" t="s">
        <v>19</v>
      </c>
      <c r="G265" t="s">
        <v>19</v>
      </c>
      <c r="H265">
        <v>2</v>
      </c>
      <c r="I265" t="s">
        <v>20</v>
      </c>
      <c r="J265" t="s">
        <v>333</v>
      </c>
      <c r="K265" t="s">
        <v>28</v>
      </c>
      <c r="L265" s="1">
        <v>30885</v>
      </c>
      <c r="M265">
        <v>33527.1</v>
      </c>
      <c r="N265" t="s">
        <v>29</v>
      </c>
      <c r="O265" t="s">
        <v>24</v>
      </c>
      <c r="P265" t="s">
        <v>42</v>
      </c>
      <c r="Q265">
        <v>38</v>
      </c>
    </row>
    <row r="266" spans="1:17" x14ac:dyDescent="0.3">
      <c r="A266" t="s">
        <v>563</v>
      </c>
      <c r="B266" t="s">
        <v>564</v>
      </c>
      <c r="C266">
        <v>30.02</v>
      </c>
      <c r="D266">
        <v>5.98</v>
      </c>
      <c r="E266" t="s">
        <v>19</v>
      </c>
      <c r="F266" t="s">
        <v>19</v>
      </c>
      <c r="G266" t="s">
        <v>20</v>
      </c>
      <c r="H266">
        <v>1</v>
      </c>
      <c r="I266" t="s">
        <v>20</v>
      </c>
      <c r="J266" t="s">
        <v>21</v>
      </c>
      <c r="K266" t="s">
        <v>28</v>
      </c>
      <c r="L266" s="1">
        <v>37493</v>
      </c>
      <c r="M266">
        <v>33475.82</v>
      </c>
      <c r="N266" t="s">
        <v>23</v>
      </c>
      <c r="O266" t="s">
        <v>23</v>
      </c>
      <c r="P266" t="s">
        <v>565</v>
      </c>
      <c r="Q266">
        <v>20</v>
      </c>
    </row>
    <row r="267" spans="1:17" x14ac:dyDescent="0.3">
      <c r="A267" t="s">
        <v>566</v>
      </c>
      <c r="B267" t="s">
        <v>567</v>
      </c>
      <c r="C267">
        <v>37.82</v>
      </c>
      <c r="D267">
        <v>6.01</v>
      </c>
      <c r="E267" t="s">
        <v>19</v>
      </c>
      <c r="F267" t="s">
        <v>19</v>
      </c>
      <c r="G267" t="s">
        <v>19</v>
      </c>
      <c r="H267">
        <v>0</v>
      </c>
      <c r="I267" t="s">
        <v>20</v>
      </c>
      <c r="J267" t="s">
        <v>21</v>
      </c>
      <c r="K267" t="s">
        <v>28</v>
      </c>
      <c r="L267" s="1">
        <v>25737</v>
      </c>
      <c r="M267">
        <v>33471.97</v>
      </c>
      <c r="N267" t="s">
        <v>29</v>
      </c>
      <c r="O267" t="s">
        <v>29</v>
      </c>
      <c r="P267" t="s">
        <v>33</v>
      </c>
      <c r="Q267">
        <v>52</v>
      </c>
    </row>
    <row r="268" spans="1:17" x14ac:dyDescent="0.3">
      <c r="A268" t="s">
        <v>568</v>
      </c>
      <c r="B268" t="s">
        <v>569</v>
      </c>
      <c r="C268">
        <v>33.14</v>
      </c>
      <c r="D268">
        <v>5.67</v>
      </c>
      <c r="E268" t="s">
        <v>32</v>
      </c>
      <c r="F268" t="s">
        <v>19</v>
      </c>
      <c r="G268" t="s">
        <v>19</v>
      </c>
      <c r="H268">
        <v>0</v>
      </c>
      <c r="I268" t="s">
        <v>20</v>
      </c>
      <c r="J268" t="s">
        <v>21</v>
      </c>
      <c r="K268" t="s">
        <v>39</v>
      </c>
      <c r="L268" s="1">
        <v>31388</v>
      </c>
      <c r="M268">
        <v>33450.99</v>
      </c>
      <c r="N268" t="s">
        <v>29</v>
      </c>
      <c r="O268" t="s">
        <v>29</v>
      </c>
      <c r="P268" t="s">
        <v>42</v>
      </c>
      <c r="Q268">
        <v>37</v>
      </c>
    </row>
    <row r="269" spans="1:17" x14ac:dyDescent="0.3">
      <c r="A269" t="s">
        <v>570</v>
      </c>
      <c r="B269" t="s">
        <v>416</v>
      </c>
      <c r="C269">
        <v>25.14</v>
      </c>
      <c r="D269">
        <v>6.02</v>
      </c>
      <c r="E269" t="s">
        <v>32</v>
      </c>
      <c r="F269" t="s">
        <v>19</v>
      </c>
      <c r="G269" t="s">
        <v>20</v>
      </c>
      <c r="H269">
        <v>1</v>
      </c>
      <c r="I269" t="s">
        <v>20</v>
      </c>
      <c r="J269" t="s">
        <v>333</v>
      </c>
      <c r="K269" t="s">
        <v>28</v>
      </c>
      <c r="L269" s="1">
        <v>26547</v>
      </c>
      <c r="M269">
        <v>33344.449999999997</v>
      </c>
      <c r="N269" t="s">
        <v>29</v>
      </c>
      <c r="O269" t="s">
        <v>24</v>
      </c>
      <c r="P269" t="s">
        <v>42</v>
      </c>
      <c r="Q269">
        <v>50</v>
      </c>
    </row>
    <row r="270" spans="1:17" x14ac:dyDescent="0.3">
      <c r="A270" t="s">
        <v>571</v>
      </c>
      <c r="B270" t="s">
        <v>572</v>
      </c>
      <c r="C270">
        <v>20.18</v>
      </c>
      <c r="D270">
        <v>11.19</v>
      </c>
      <c r="E270" t="s">
        <v>19</v>
      </c>
      <c r="F270" t="s">
        <v>19</v>
      </c>
      <c r="G270" t="s">
        <v>19</v>
      </c>
      <c r="H270">
        <v>0</v>
      </c>
      <c r="I270" t="s">
        <v>20</v>
      </c>
      <c r="J270" t="s">
        <v>482</v>
      </c>
      <c r="K270" t="s">
        <v>22</v>
      </c>
      <c r="L270" s="1">
        <v>37953</v>
      </c>
      <c r="M270">
        <v>33307.550000000003</v>
      </c>
      <c r="N270" t="s">
        <v>29</v>
      </c>
      <c r="O270" t="s">
        <v>24</v>
      </c>
      <c r="P270" t="s">
        <v>33</v>
      </c>
      <c r="Q270">
        <v>19</v>
      </c>
    </row>
    <row r="271" spans="1:17" x14ac:dyDescent="0.3">
      <c r="A271" t="s">
        <v>573</v>
      </c>
      <c r="B271" t="s">
        <v>574</v>
      </c>
      <c r="C271">
        <v>44.36</v>
      </c>
      <c r="D271">
        <v>5.1100000000000003</v>
      </c>
      <c r="E271" t="s">
        <v>19</v>
      </c>
      <c r="F271" t="s">
        <v>19</v>
      </c>
      <c r="G271" t="s">
        <v>19</v>
      </c>
      <c r="H271">
        <v>0</v>
      </c>
      <c r="I271" t="s">
        <v>20</v>
      </c>
      <c r="J271" t="s">
        <v>21</v>
      </c>
      <c r="K271" t="s">
        <v>39</v>
      </c>
      <c r="L271" s="1">
        <v>33158</v>
      </c>
      <c r="M271">
        <v>33292.83</v>
      </c>
      <c r="N271" t="s">
        <v>29</v>
      </c>
      <c r="O271" t="s">
        <v>23</v>
      </c>
      <c r="P271" t="s">
        <v>42</v>
      </c>
      <c r="Q271">
        <v>32</v>
      </c>
    </row>
    <row r="272" spans="1:17" x14ac:dyDescent="0.3">
      <c r="A272" t="s">
        <v>575</v>
      </c>
      <c r="B272" t="s">
        <v>576</v>
      </c>
      <c r="C272">
        <v>23.82</v>
      </c>
      <c r="D272">
        <v>10.85</v>
      </c>
      <c r="E272" t="s">
        <v>32</v>
      </c>
      <c r="F272" t="s">
        <v>19</v>
      </c>
      <c r="G272" t="s">
        <v>19</v>
      </c>
      <c r="H272">
        <v>0</v>
      </c>
      <c r="I272" t="s">
        <v>20</v>
      </c>
      <c r="J272" t="s">
        <v>482</v>
      </c>
      <c r="K272" t="s">
        <v>22</v>
      </c>
      <c r="L272" s="1">
        <v>31243</v>
      </c>
      <c r="M272">
        <v>33121</v>
      </c>
      <c r="N272" t="s">
        <v>29</v>
      </c>
      <c r="O272" t="s">
        <v>23</v>
      </c>
      <c r="P272" t="s">
        <v>42</v>
      </c>
      <c r="Q272">
        <v>37</v>
      </c>
    </row>
    <row r="273" spans="1:17" x14ac:dyDescent="0.3">
      <c r="A273" t="s">
        <v>577</v>
      </c>
      <c r="B273" t="s">
        <v>578</v>
      </c>
      <c r="C273">
        <v>45</v>
      </c>
      <c r="D273">
        <v>5.24</v>
      </c>
      <c r="E273" t="s">
        <v>32</v>
      </c>
      <c r="F273" t="s">
        <v>19</v>
      </c>
      <c r="G273" t="s">
        <v>19</v>
      </c>
      <c r="H273">
        <v>1</v>
      </c>
      <c r="I273" t="s">
        <v>20</v>
      </c>
      <c r="J273" t="s">
        <v>21</v>
      </c>
      <c r="K273" t="s">
        <v>39</v>
      </c>
      <c r="L273" s="1">
        <v>25506</v>
      </c>
      <c r="M273">
        <v>33090.660000000003</v>
      </c>
      <c r="N273" t="s">
        <v>29</v>
      </c>
      <c r="O273" t="s">
        <v>29</v>
      </c>
      <c r="P273" t="s">
        <v>42</v>
      </c>
      <c r="Q273">
        <v>53</v>
      </c>
    </row>
    <row r="274" spans="1:17" x14ac:dyDescent="0.3">
      <c r="A274" t="s">
        <v>579</v>
      </c>
      <c r="B274" t="s">
        <v>580</v>
      </c>
      <c r="C274">
        <v>26.62</v>
      </c>
      <c r="D274">
        <v>10.08</v>
      </c>
      <c r="E274" t="s">
        <v>19</v>
      </c>
      <c r="F274" t="s">
        <v>19</v>
      </c>
      <c r="G274" t="s">
        <v>19</v>
      </c>
      <c r="H274">
        <v>0</v>
      </c>
      <c r="I274" t="s">
        <v>20</v>
      </c>
      <c r="J274" t="s">
        <v>333</v>
      </c>
      <c r="K274" t="s">
        <v>22</v>
      </c>
      <c r="L274" s="1">
        <v>22828</v>
      </c>
      <c r="M274">
        <v>33074.94</v>
      </c>
      <c r="N274" t="s">
        <v>23</v>
      </c>
      <c r="O274" t="s">
        <v>29</v>
      </c>
      <c r="P274" t="s">
        <v>42</v>
      </c>
      <c r="Q274">
        <v>60</v>
      </c>
    </row>
    <row r="275" spans="1:17" x14ac:dyDescent="0.3">
      <c r="A275" t="s">
        <v>581</v>
      </c>
      <c r="B275" t="s">
        <v>582</v>
      </c>
      <c r="C275">
        <v>32.67</v>
      </c>
      <c r="D275">
        <v>10.97</v>
      </c>
      <c r="E275" t="s">
        <v>32</v>
      </c>
      <c r="F275" t="s">
        <v>19</v>
      </c>
      <c r="G275" t="s">
        <v>19</v>
      </c>
      <c r="H275">
        <v>0</v>
      </c>
      <c r="I275" t="s">
        <v>20</v>
      </c>
      <c r="J275" t="s">
        <v>21</v>
      </c>
      <c r="K275" t="s">
        <v>22</v>
      </c>
      <c r="L275" s="1">
        <v>34543</v>
      </c>
      <c r="M275">
        <v>33057.230000000003</v>
      </c>
      <c r="N275" t="s">
        <v>23</v>
      </c>
      <c r="O275" t="s">
        <v>29</v>
      </c>
      <c r="P275" t="s">
        <v>42</v>
      </c>
      <c r="Q275">
        <v>28</v>
      </c>
    </row>
    <row r="276" spans="1:17" x14ac:dyDescent="0.3">
      <c r="A276" t="s">
        <v>583</v>
      </c>
      <c r="B276" t="s">
        <v>584</v>
      </c>
      <c r="C276">
        <v>44.44</v>
      </c>
      <c r="D276">
        <v>4.9000000000000004</v>
      </c>
      <c r="E276" t="s">
        <v>32</v>
      </c>
      <c r="F276" t="s">
        <v>19</v>
      </c>
      <c r="G276" t="s">
        <v>19</v>
      </c>
      <c r="H276">
        <v>1</v>
      </c>
      <c r="I276" t="s">
        <v>20</v>
      </c>
      <c r="J276" t="s">
        <v>21</v>
      </c>
      <c r="K276" t="s">
        <v>39</v>
      </c>
      <c r="L276" s="1">
        <v>24663</v>
      </c>
      <c r="M276">
        <v>33025.32</v>
      </c>
      <c r="N276" t="s">
        <v>29</v>
      </c>
      <c r="O276" t="s">
        <v>24</v>
      </c>
      <c r="P276" t="s">
        <v>42</v>
      </c>
      <c r="Q276">
        <v>55</v>
      </c>
    </row>
    <row r="277" spans="1:17" x14ac:dyDescent="0.3">
      <c r="A277" t="s">
        <v>585</v>
      </c>
      <c r="B277" t="s">
        <v>586</v>
      </c>
      <c r="C277">
        <v>28.31</v>
      </c>
      <c r="D277">
        <v>5.33</v>
      </c>
      <c r="E277" t="s">
        <v>19</v>
      </c>
      <c r="F277" t="s">
        <v>19</v>
      </c>
      <c r="G277" t="s">
        <v>19</v>
      </c>
      <c r="H277">
        <v>0</v>
      </c>
      <c r="I277" t="s">
        <v>20</v>
      </c>
      <c r="J277" t="s">
        <v>333</v>
      </c>
      <c r="K277" t="s">
        <v>39</v>
      </c>
      <c r="L277" s="1">
        <v>34888</v>
      </c>
      <c r="M277">
        <v>33017.46</v>
      </c>
      <c r="N277" t="s">
        <v>23</v>
      </c>
      <c r="O277" t="s">
        <v>23</v>
      </c>
      <c r="P277" t="s">
        <v>42</v>
      </c>
      <c r="Q277">
        <v>27</v>
      </c>
    </row>
    <row r="278" spans="1:17" x14ac:dyDescent="0.3">
      <c r="A278" t="s">
        <v>587</v>
      </c>
      <c r="B278" t="s">
        <v>588</v>
      </c>
      <c r="C278">
        <v>25.05</v>
      </c>
      <c r="D278">
        <v>4.6100000000000003</v>
      </c>
      <c r="E278" t="s">
        <v>19</v>
      </c>
      <c r="F278" t="s">
        <v>19</v>
      </c>
      <c r="G278" t="s">
        <v>19</v>
      </c>
      <c r="H278">
        <v>2</v>
      </c>
      <c r="I278" t="s">
        <v>20</v>
      </c>
      <c r="J278" t="s">
        <v>333</v>
      </c>
      <c r="K278" t="s">
        <v>39</v>
      </c>
      <c r="L278" s="1">
        <v>26169</v>
      </c>
      <c r="M278">
        <v>32947.629999999997</v>
      </c>
      <c r="N278" t="s">
        <v>29</v>
      </c>
      <c r="O278" t="s">
        <v>23</v>
      </c>
      <c r="P278" t="s">
        <v>42</v>
      </c>
      <c r="Q278">
        <v>51</v>
      </c>
    </row>
    <row r="279" spans="1:17" x14ac:dyDescent="0.3">
      <c r="A279" t="s">
        <v>589</v>
      </c>
      <c r="B279" t="s">
        <v>590</v>
      </c>
      <c r="C279">
        <v>28.34</v>
      </c>
      <c r="D279">
        <v>8.18</v>
      </c>
      <c r="E279" t="s">
        <v>19</v>
      </c>
      <c r="F279" t="s">
        <v>19</v>
      </c>
      <c r="G279" t="s">
        <v>19</v>
      </c>
      <c r="H279">
        <v>0</v>
      </c>
      <c r="I279" t="s">
        <v>20</v>
      </c>
      <c r="J279" t="s">
        <v>333</v>
      </c>
      <c r="K279" t="s">
        <v>22</v>
      </c>
      <c r="L279" s="1">
        <v>29907</v>
      </c>
      <c r="M279">
        <v>32906.69</v>
      </c>
      <c r="N279" t="s">
        <v>29</v>
      </c>
      <c r="O279" t="s">
        <v>24</v>
      </c>
      <c r="P279" t="s">
        <v>42</v>
      </c>
      <c r="Q279">
        <v>41</v>
      </c>
    </row>
    <row r="280" spans="1:17" x14ac:dyDescent="0.3">
      <c r="A280" t="s">
        <v>591</v>
      </c>
      <c r="B280" t="s">
        <v>398</v>
      </c>
      <c r="C280">
        <v>17.765000000000001</v>
      </c>
      <c r="D280">
        <v>5.62</v>
      </c>
      <c r="E280" t="s">
        <v>19</v>
      </c>
      <c r="F280" t="s">
        <v>19</v>
      </c>
      <c r="G280" t="s">
        <v>19</v>
      </c>
      <c r="H280">
        <v>0</v>
      </c>
      <c r="I280" t="s">
        <v>20</v>
      </c>
      <c r="J280" t="s">
        <v>592</v>
      </c>
      <c r="K280" t="s">
        <v>39</v>
      </c>
      <c r="L280" s="1">
        <v>35037</v>
      </c>
      <c r="M280">
        <v>32827.51</v>
      </c>
      <c r="N280" t="s">
        <v>23</v>
      </c>
      <c r="O280" t="s">
        <v>29</v>
      </c>
      <c r="P280" t="s">
        <v>42</v>
      </c>
      <c r="Q280">
        <v>27</v>
      </c>
    </row>
    <row r="281" spans="1:17" x14ac:dyDescent="0.3">
      <c r="A281" t="s">
        <v>593</v>
      </c>
      <c r="B281" t="s">
        <v>594</v>
      </c>
      <c r="C281">
        <v>36.119999999999997</v>
      </c>
      <c r="D281">
        <v>5.82</v>
      </c>
      <c r="E281" t="s">
        <v>19</v>
      </c>
      <c r="F281" t="s">
        <v>19</v>
      </c>
      <c r="G281" t="s">
        <v>19</v>
      </c>
      <c r="H281">
        <v>0</v>
      </c>
      <c r="I281" t="s">
        <v>20</v>
      </c>
      <c r="J281" t="s">
        <v>21</v>
      </c>
      <c r="K281" t="s">
        <v>28</v>
      </c>
      <c r="L281" s="1">
        <v>29567</v>
      </c>
      <c r="M281">
        <v>32787.46</v>
      </c>
      <c r="N281" t="s">
        <v>23</v>
      </c>
      <c r="O281" t="s">
        <v>24</v>
      </c>
      <c r="P281" t="s">
        <v>33</v>
      </c>
      <c r="Q281">
        <v>42</v>
      </c>
    </row>
    <row r="282" spans="1:17" x14ac:dyDescent="0.3">
      <c r="A282" t="s">
        <v>595</v>
      </c>
      <c r="B282" t="s">
        <v>596</v>
      </c>
      <c r="C282">
        <v>23.19</v>
      </c>
      <c r="D282">
        <v>7.66</v>
      </c>
      <c r="E282" t="s">
        <v>19</v>
      </c>
      <c r="F282" t="s">
        <v>19</v>
      </c>
      <c r="G282" t="s">
        <v>19</v>
      </c>
      <c r="H282">
        <v>0</v>
      </c>
      <c r="I282" t="s">
        <v>20</v>
      </c>
      <c r="J282" t="s">
        <v>482</v>
      </c>
      <c r="K282" t="s">
        <v>22</v>
      </c>
      <c r="L282" s="1">
        <v>26610</v>
      </c>
      <c r="M282">
        <v>32765.33</v>
      </c>
      <c r="N282" t="s">
        <v>29</v>
      </c>
      <c r="O282" t="s">
        <v>29</v>
      </c>
      <c r="P282" t="s">
        <v>33</v>
      </c>
      <c r="Q282">
        <v>50</v>
      </c>
    </row>
    <row r="283" spans="1:17" x14ac:dyDescent="0.3">
      <c r="A283" t="s">
        <v>597</v>
      </c>
      <c r="B283" t="s">
        <v>220</v>
      </c>
      <c r="C283">
        <v>35.99</v>
      </c>
      <c r="D283">
        <v>4.2300000000000004</v>
      </c>
      <c r="E283" t="s">
        <v>19</v>
      </c>
      <c r="F283" t="s">
        <v>19</v>
      </c>
      <c r="G283" t="s">
        <v>19</v>
      </c>
      <c r="H283">
        <v>0</v>
      </c>
      <c r="I283" t="s">
        <v>20</v>
      </c>
      <c r="J283" t="s">
        <v>21</v>
      </c>
      <c r="K283" t="s">
        <v>39</v>
      </c>
      <c r="L283" s="1">
        <v>27369</v>
      </c>
      <c r="M283">
        <v>32760.48</v>
      </c>
      <c r="N283" t="s">
        <v>23</v>
      </c>
      <c r="O283" t="s">
        <v>23</v>
      </c>
      <c r="P283" t="s">
        <v>42</v>
      </c>
      <c r="Q283">
        <v>48</v>
      </c>
    </row>
    <row r="284" spans="1:17" x14ac:dyDescent="0.3">
      <c r="A284" t="s">
        <v>598</v>
      </c>
      <c r="B284" t="s">
        <v>599</v>
      </c>
      <c r="C284">
        <v>30.25</v>
      </c>
      <c r="D284">
        <v>5.58</v>
      </c>
      <c r="E284" t="s">
        <v>19</v>
      </c>
      <c r="F284" t="s">
        <v>19</v>
      </c>
      <c r="G284" t="s">
        <v>20</v>
      </c>
      <c r="H284">
        <v>1</v>
      </c>
      <c r="I284" t="s">
        <v>20</v>
      </c>
      <c r="J284" t="s">
        <v>21</v>
      </c>
      <c r="K284" t="s">
        <v>39</v>
      </c>
      <c r="L284" s="1">
        <v>33063</v>
      </c>
      <c r="M284">
        <v>32734.19</v>
      </c>
      <c r="N284" t="s">
        <v>29</v>
      </c>
      <c r="O284" t="s">
        <v>23</v>
      </c>
      <c r="P284" t="s">
        <v>33</v>
      </c>
      <c r="Q284">
        <v>32</v>
      </c>
    </row>
    <row r="285" spans="1:17" x14ac:dyDescent="0.3">
      <c r="A285" t="s">
        <v>600</v>
      </c>
      <c r="B285" t="s">
        <v>601</v>
      </c>
      <c r="C285">
        <v>26.24</v>
      </c>
      <c r="D285">
        <v>6.26</v>
      </c>
      <c r="E285" t="s">
        <v>32</v>
      </c>
      <c r="F285" t="s">
        <v>19</v>
      </c>
      <c r="G285" t="s">
        <v>19</v>
      </c>
      <c r="H285">
        <v>0</v>
      </c>
      <c r="I285" t="s">
        <v>20</v>
      </c>
      <c r="J285" t="s">
        <v>333</v>
      </c>
      <c r="K285" t="s">
        <v>28</v>
      </c>
      <c r="L285" s="1">
        <v>33146</v>
      </c>
      <c r="M285">
        <v>32716.2</v>
      </c>
      <c r="N285" t="s">
        <v>23</v>
      </c>
      <c r="O285" t="s">
        <v>29</v>
      </c>
      <c r="P285" t="s">
        <v>42</v>
      </c>
      <c r="Q285">
        <v>32</v>
      </c>
    </row>
    <row r="286" spans="1:17" x14ac:dyDescent="0.3">
      <c r="A286" t="s">
        <v>602</v>
      </c>
      <c r="B286" t="s">
        <v>603</v>
      </c>
      <c r="C286">
        <v>31.36</v>
      </c>
      <c r="D286">
        <v>10.6</v>
      </c>
      <c r="E286" t="s">
        <v>32</v>
      </c>
      <c r="F286" t="s">
        <v>19</v>
      </c>
      <c r="G286" t="s">
        <v>19</v>
      </c>
      <c r="H286">
        <v>0</v>
      </c>
      <c r="I286" t="s">
        <v>20</v>
      </c>
      <c r="J286" t="s">
        <v>21</v>
      </c>
      <c r="K286" t="s">
        <v>22</v>
      </c>
      <c r="L286" s="1">
        <v>25143</v>
      </c>
      <c r="M286">
        <v>32686.080000000002</v>
      </c>
      <c r="N286" t="s">
        <v>29</v>
      </c>
      <c r="O286" t="s">
        <v>24</v>
      </c>
      <c r="P286" t="s">
        <v>42</v>
      </c>
      <c r="Q286">
        <v>54</v>
      </c>
    </row>
    <row r="287" spans="1:17" x14ac:dyDescent="0.3">
      <c r="A287" t="s">
        <v>604</v>
      </c>
      <c r="B287" t="s">
        <v>605</v>
      </c>
      <c r="C287">
        <v>25.69</v>
      </c>
      <c r="D287">
        <v>4.78</v>
      </c>
      <c r="E287" t="s">
        <v>32</v>
      </c>
      <c r="F287" t="s">
        <v>19</v>
      </c>
      <c r="G287" t="s">
        <v>19</v>
      </c>
      <c r="H287">
        <v>0</v>
      </c>
      <c r="I287" t="s">
        <v>20</v>
      </c>
      <c r="J287" t="s">
        <v>333</v>
      </c>
      <c r="K287" t="s">
        <v>39</v>
      </c>
      <c r="L287" s="1">
        <v>33067</v>
      </c>
      <c r="M287">
        <v>32672.11</v>
      </c>
      <c r="N287" t="s">
        <v>23</v>
      </c>
      <c r="O287" t="s">
        <v>23</v>
      </c>
      <c r="P287" t="s">
        <v>42</v>
      </c>
      <c r="Q287">
        <v>32</v>
      </c>
    </row>
    <row r="288" spans="1:17" x14ac:dyDescent="0.3">
      <c r="A288" t="s">
        <v>606</v>
      </c>
      <c r="B288" t="s">
        <v>607</v>
      </c>
      <c r="C288">
        <v>25.46</v>
      </c>
      <c r="D288">
        <v>6.03</v>
      </c>
      <c r="E288" t="s">
        <v>19</v>
      </c>
      <c r="F288" t="s">
        <v>19</v>
      </c>
      <c r="G288" t="s">
        <v>19</v>
      </c>
      <c r="H288">
        <v>2</v>
      </c>
      <c r="I288" t="s">
        <v>20</v>
      </c>
      <c r="J288" t="s">
        <v>333</v>
      </c>
      <c r="K288" t="s">
        <v>28</v>
      </c>
      <c r="L288" s="1">
        <v>37902</v>
      </c>
      <c r="M288">
        <v>32548.34</v>
      </c>
      <c r="N288" t="s">
        <v>23</v>
      </c>
      <c r="O288" t="s">
        <v>29</v>
      </c>
      <c r="P288" t="s">
        <v>25</v>
      </c>
      <c r="Q288">
        <v>19</v>
      </c>
    </row>
    <row r="289" spans="1:17" x14ac:dyDescent="0.3">
      <c r="A289" t="s">
        <v>608</v>
      </c>
      <c r="B289" t="s">
        <v>609</v>
      </c>
      <c r="C289">
        <v>31.83</v>
      </c>
      <c r="D289">
        <v>11.55</v>
      </c>
      <c r="E289" t="s">
        <v>32</v>
      </c>
      <c r="F289" t="s">
        <v>19</v>
      </c>
      <c r="G289" t="s">
        <v>19</v>
      </c>
      <c r="H289">
        <v>1</v>
      </c>
      <c r="I289" t="s">
        <v>20</v>
      </c>
      <c r="J289" t="s">
        <v>21</v>
      </c>
      <c r="K289" t="s">
        <v>22</v>
      </c>
      <c r="L289" s="1">
        <v>28022</v>
      </c>
      <c r="M289">
        <v>32485.46</v>
      </c>
      <c r="N289" t="s">
        <v>29</v>
      </c>
      <c r="O289" t="s">
        <v>23</v>
      </c>
      <c r="P289" t="s">
        <v>42</v>
      </c>
      <c r="Q289">
        <v>46</v>
      </c>
    </row>
    <row r="290" spans="1:17" x14ac:dyDescent="0.3">
      <c r="A290" t="s">
        <v>610</v>
      </c>
      <c r="B290" t="s">
        <v>611</v>
      </c>
      <c r="C290">
        <v>24.43</v>
      </c>
      <c r="D290">
        <v>7.59</v>
      </c>
      <c r="E290" t="s">
        <v>32</v>
      </c>
      <c r="F290" t="s">
        <v>19</v>
      </c>
      <c r="G290" t="s">
        <v>19</v>
      </c>
      <c r="H290">
        <v>1</v>
      </c>
      <c r="I290" t="s">
        <v>20</v>
      </c>
      <c r="J290" t="s">
        <v>482</v>
      </c>
      <c r="K290" t="s">
        <v>22</v>
      </c>
      <c r="L290" s="1">
        <v>29856</v>
      </c>
      <c r="M290">
        <v>32462.35</v>
      </c>
      <c r="N290" t="s">
        <v>29</v>
      </c>
      <c r="O290" t="s">
        <v>29</v>
      </c>
      <c r="P290" t="s">
        <v>42</v>
      </c>
      <c r="Q290">
        <v>41</v>
      </c>
    </row>
    <row r="291" spans="1:17" x14ac:dyDescent="0.3">
      <c r="A291" t="s">
        <v>612</v>
      </c>
      <c r="B291" t="s">
        <v>613</v>
      </c>
      <c r="C291">
        <v>41.9</v>
      </c>
      <c r="D291">
        <v>4.26</v>
      </c>
      <c r="E291" t="s">
        <v>19</v>
      </c>
      <c r="F291" t="s">
        <v>19</v>
      </c>
      <c r="G291" t="s">
        <v>19</v>
      </c>
      <c r="H291">
        <v>0</v>
      </c>
      <c r="I291" t="s">
        <v>20</v>
      </c>
      <c r="J291" t="s">
        <v>21</v>
      </c>
      <c r="K291" t="s">
        <v>39</v>
      </c>
      <c r="L291" s="1">
        <v>27981</v>
      </c>
      <c r="M291">
        <v>32430.22</v>
      </c>
      <c r="N291" t="s">
        <v>29</v>
      </c>
      <c r="O291" t="s">
        <v>24</v>
      </c>
      <c r="P291" t="s">
        <v>42</v>
      </c>
      <c r="Q291">
        <v>46</v>
      </c>
    </row>
    <row r="292" spans="1:17" x14ac:dyDescent="0.3">
      <c r="A292" t="s">
        <v>614</v>
      </c>
      <c r="B292" t="s">
        <v>615</v>
      </c>
      <c r="C292">
        <v>22.88</v>
      </c>
      <c r="D292">
        <v>5.9</v>
      </c>
      <c r="E292" t="s">
        <v>32</v>
      </c>
      <c r="F292" t="s">
        <v>19</v>
      </c>
      <c r="G292" t="s">
        <v>20</v>
      </c>
      <c r="H292">
        <v>1</v>
      </c>
      <c r="I292" t="s">
        <v>20</v>
      </c>
      <c r="J292" t="s">
        <v>482</v>
      </c>
      <c r="K292" t="s">
        <v>28</v>
      </c>
      <c r="L292" s="1">
        <v>26591</v>
      </c>
      <c r="M292">
        <v>32428.63</v>
      </c>
      <c r="N292" t="s">
        <v>29</v>
      </c>
      <c r="O292" t="s">
        <v>29</v>
      </c>
      <c r="P292" t="s">
        <v>42</v>
      </c>
      <c r="Q292">
        <v>50</v>
      </c>
    </row>
    <row r="293" spans="1:17" x14ac:dyDescent="0.3">
      <c r="A293" t="s">
        <v>616</v>
      </c>
      <c r="B293" t="s">
        <v>617</v>
      </c>
      <c r="C293">
        <v>29.734999999999999</v>
      </c>
      <c r="D293">
        <v>7.79</v>
      </c>
      <c r="E293" t="s">
        <v>19</v>
      </c>
      <c r="F293" t="s">
        <v>19</v>
      </c>
      <c r="G293" t="s">
        <v>19</v>
      </c>
      <c r="H293">
        <v>0</v>
      </c>
      <c r="I293" t="s">
        <v>19</v>
      </c>
      <c r="J293" t="s">
        <v>333</v>
      </c>
      <c r="K293" t="s">
        <v>22</v>
      </c>
      <c r="L293" s="1">
        <v>31748</v>
      </c>
      <c r="M293">
        <v>32288.49</v>
      </c>
      <c r="N293" t="s">
        <v>29</v>
      </c>
      <c r="O293" t="s">
        <v>29</v>
      </c>
      <c r="P293" t="s">
        <v>42</v>
      </c>
      <c r="Q293">
        <v>36</v>
      </c>
    </row>
    <row r="294" spans="1:17" x14ac:dyDescent="0.3">
      <c r="A294" t="s">
        <v>618</v>
      </c>
      <c r="B294" t="s">
        <v>619</v>
      </c>
      <c r="C294">
        <v>40.74</v>
      </c>
      <c r="D294">
        <v>5.28</v>
      </c>
      <c r="E294" t="s">
        <v>19</v>
      </c>
      <c r="F294" t="s">
        <v>19</v>
      </c>
      <c r="G294" t="s">
        <v>20</v>
      </c>
      <c r="H294">
        <v>1</v>
      </c>
      <c r="I294" t="s">
        <v>20</v>
      </c>
      <c r="J294" t="s">
        <v>21</v>
      </c>
      <c r="K294" t="s">
        <v>39</v>
      </c>
      <c r="L294" s="1">
        <v>27745</v>
      </c>
      <c r="M294">
        <v>32259.96</v>
      </c>
      <c r="N294" t="s">
        <v>29</v>
      </c>
      <c r="O294" t="s">
        <v>24</v>
      </c>
      <c r="P294" t="s">
        <v>33</v>
      </c>
      <c r="Q294">
        <v>47</v>
      </c>
    </row>
    <row r="295" spans="1:17" x14ac:dyDescent="0.3">
      <c r="A295" t="s">
        <v>620</v>
      </c>
      <c r="B295" t="s">
        <v>621</v>
      </c>
      <c r="C295">
        <v>24.14</v>
      </c>
      <c r="D295">
        <v>5.87</v>
      </c>
      <c r="E295" t="s">
        <v>19</v>
      </c>
      <c r="F295" t="s">
        <v>19</v>
      </c>
      <c r="G295" t="s">
        <v>19</v>
      </c>
      <c r="H295">
        <v>2</v>
      </c>
      <c r="I295" t="s">
        <v>20</v>
      </c>
      <c r="J295" t="s">
        <v>482</v>
      </c>
      <c r="K295" t="s">
        <v>28</v>
      </c>
      <c r="L295" s="1">
        <v>34585</v>
      </c>
      <c r="M295">
        <v>32222.81</v>
      </c>
      <c r="N295" t="s">
        <v>29</v>
      </c>
      <c r="O295" t="s">
        <v>23</v>
      </c>
      <c r="P295" t="s">
        <v>42</v>
      </c>
      <c r="Q295">
        <v>28</v>
      </c>
    </row>
    <row r="296" spans="1:17" x14ac:dyDescent="0.3">
      <c r="A296" t="s">
        <v>622</v>
      </c>
      <c r="B296" t="s">
        <v>623</v>
      </c>
      <c r="C296">
        <v>25.15</v>
      </c>
      <c r="D296">
        <v>9.08</v>
      </c>
      <c r="E296" t="s">
        <v>32</v>
      </c>
      <c r="F296" t="s">
        <v>19</v>
      </c>
      <c r="G296" t="s">
        <v>19</v>
      </c>
      <c r="H296">
        <v>1</v>
      </c>
      <c r="I296" t="s">
        <v>20</v>
      </c>
      <c r="J296" t="s">
        <v>333</v>
      </c>
      <c r="K296" t="s">
        <v>22</v>
      </c>
      <c r="L296" s="1">
        <v>25457</v>
      </c>
      <c r="M296">
        <v>32192.76</v>
      </c>
      <c r="N296" t="s">
        <v>23</v>
      </c>
      <c r="O296" t="s">
        <v>29</v>
      </c>
      <c r="P296" t="s">
        <v>42</v>
      </c>
      <c r="Q296">
        <v>53</v>
      </c>
    </row>
    <row r="297" spans="1:17" x14ac:dyDescent="0.3">
      <c r="A297" t="s">
        <v>624</v>
      </c>
      <c r="B297" t="s">
        <v>625</v>
      </c>
      <c r="C297">
        <v>28.71</v>
      </c>
      <c r="D297">
        <v>5.2</v>
      </c>
      <c r="E297" t="s">
        <v>19</v>
      </c>
      <c r="F297" t="s">
        <v>19</v>
      </c>
      <c r="G297" t="s">
        <v>19</v>
      </c>
      <c r="H297">
        <v>1</v>
      </c>
      <c r="I297" t="s">
        <v>20</v>
      </c>
      <c r="J297" t="s">
        <v>333</v>
      </c>
      <c r="K297" t="s">
        <v>39</v>
      </c>
      <c r="L297" s="1">
        <v>28804</v>
      </c>
      <c r="M297">
        <v>32108.66</v>
      </c>
      <c r="N297" t="s">
        <v>23</v>
      </c>
      <c r="O297" t="s">
        <v>24</v>
      </c>
      <c r="P297" t="s">
        <v>206</v>
      </c>
      <c r="Q297">
        <v>44</v>
      </c>
    </row>
    <row r="298" spans="1:17" x14ac:dyDescent="0.3">
      <c r="A298" t="s">
        <v>626</v>
      </c>
      <c r="B298" t="s">
        <v>627</v>
      </c>
      <c r="C298">
        <v>23</v>
      </c>
      <c r="D298">
        <v>5.48</v>
      </c>
      <c r="E298" t="s">
        <v>19</v>
      </c>
      <c r="F298" t="s">
        <v>19</v>
      </c>
      <c r="G298" t="s">
        <v>19</v>
      </c>
      <c r="H298">
        <v>0</v>
      </c>
      <c r="I298" t="s">
        <v>20</v>
      </c>
      <c r="J298" t="s">
        <v>482</v>
      </c>
      <c r="K298" t="s">
        <v>39</v>
      </c>
      <c r="L298" s="1">
        <v>34225</v>
      </c>
      <c r="M298">
        <v>32086.21</v>
      </c>
      <c r="N298" t="s">
        <v>23</v>
      </c>
      <c r="O298" t="s">
        <v>24</v>
      </c>
      <c r="P298" t="s">
        <v>42</v>
      </c>
      <c r="Q298">
        <v>29</v>
      </c>
    </row>
    <row r="299" spans="1:17" x14ac:dyDescent="0.3">
      <c r="A299" t="s">
        <v>628</v>
      </c>
      <c r="B299" t="s">
        <v>629</v>
      </c>
      <c r="C299">
        <v>36.86</v>
      </c>
      <c r="D299">
        <v>11.95</v>
      </c>
      <c r="E299" t="s">
        <v>19</v>
      </c>
      <c r="F299" t="s">
        <v>19</v>
      </c>
      <c r="G299" t="s">
        <v>19</v>
      </c>
      <c r="H299">
        <v>0</v>
      </c>
      <c r="I299" t="s">
        <v>19</v>
      </c>
      <c r="J299" t="s">
        <v>21</v>
      </c>
      <c r="K299" t="s">
        <v>22</v>
      </c>
      <c r="L299" s="1">
        <v>26563</v>
      </c>
      <c r="M299">
        <v>31980.89</v>
      </c>
      <c r="N299" t="s">
        <v>29</v>
      </c>
      <c r="O299" t="s">
        <v>23</v>
      </c>
      <c r="P299" t="s">
        <v>42</v>
      </c>
      <c r="Q299">
        <v>50</v>
      </c>
    </row>
    <row r="300" spans="1:17" x14ac:dyDescent="0.3">
      <c r="A300" t="s">
        <v>630</v>
      </c>
      <c r="B300" t="s">
        <v>631</v>
      </c>
      <c r="C300">
        <v>24.25</v>
      </c>
      <c r="D300">
        <v>8.6999999999999993</v>
      </c>
      <c r="E300" t="s">
        <v>32</v>
      </c>
      <c r="F300" t="s">
        <v>19</v>
      </c>
      <c r="G300" t="s">
        <v>19</v>
      </c>
      <c r="H300">
        <v>1</v>
      </c>
      <c r="I300" t="s">
        <v>20</v>
      </c>
      <c r="J300" t="s">
        <v>482</v>
      </c>
      <c r="K300" t="s">
        <v>22</v>
      </c>
      <c r="L300" s="1">
        <v>27662</v>
      </c>
      <c r="M300">
        <v>31897.1</v>
      </c>
      <c r="N300" t="s">
        <v>29</v>
      </c>
      <c r="O300" t="s">
        <v>24</v>
      </c>
      <c r="P300" t="s">
        <v>42</v>
      </c>
      <c r="Q300">
        <v>47</v>
      </c>
    </row>
    <row r="301" spans="1:17" x14ac:dyDescent="0.3">
      <c r="A301" t="s">
        <v>632</v>
      </c>
      <c r="B301" t="s">
        <v>633</v>
      </c>
      <c r="C301">
        <v>23.85</v>
      </c>
      <c r="D301">
        <v>7.84</v>
      </c>
      <c r="E301" t="s">
        <v>19</v>
      </c>
      <c r="F301" t="s">
        <v>19</v>
      </c>
      <c r="G301" t="s">
        <v>19</v>
      </c>
      <c r="H301">
        <v>0</v>
      </c>
      <c r="I301" t="s">
        <v>20</v>
      </c>
      <c r="J301" t="s">
        <v>482</v>
      </c>
      <c r="K301" t="s">
        <v>22</v>
      </c>
      <c r="L301" s="1">
        <v>30935</v>
      </c>
      <c r="M301">
        <v>31743.919999999998</v>
      </c>
      <c r="N301" t="s">
        <v>29</v>
      </c>
      <c r="O301" t="s">
        <v>23</v>
      </c>
      <c r="P301" t="s">
        <v>42</v>
      </c>
      <c r="Q301">
        <v>38</v>
      </c>
    </row>
    <row r="302" spans="1:17" x14ac:dyDescent="0.3">
      <c r="A302" t="s">
        <v>634</v>
      </c>
      <c r="B302" t="s">
        <v>520</v>
      </c>
      <c r="C302">
        <v>40.020000000000003</v>
      </c>
      <c r="D302">
        <v>5.19</v>
      </c>
      <c r="E302" t="s">
        <v>32</v>
      </c>
      <c r="F302" t="s">
        <v>19</v>
      </c>
      <c r="G302" t="s">
        <v>19</v>
      </c>
      <c r="H302">
        <v>1</v>
      </c>
      <c r="I302" t="s">
        <v>20</v>
      </c>
      <c r="J302" t="s">
        <v>21</v>
      </c>
      <c r="K302" t="s">
        <v>39</v>
      </c>
      <c r="L302" s="1">
        <v>28412</v>
      </c>
      <c r="M302">
        <v>31736.7</v>
      </c>
      <c r="N302" t="s">
        <v>29</v>
      </c>
      <c r="O302" t="s">
        <v>29</v>
      </c>
      <c r="P302" t="s">
        <v>33</v>
      </c>
      <c r="Q302">
        <v>45</v>
      </c>
    </row>
    <row r="303" spans="1:17" x14ac:dyDescent="0.3">
      <c r="A303" t="s">
        <v>635</v>
      </c>
      <c r="B303" t="s">
        <v>636</v>
      </c>
      <c r="C303">
        <v>19.170000000000002</v>
      </c>
      <c r="D303">
        <v>8.41</v>
      </c>
      <c r="E303" t="s">
        <v>19</v>
      </c>
      <c r="F303" t="s">
        <v>19</v>
      </c>
      <c r="G303" t="s">
        <v>19</v>
      </c>
      <c r="H303">
        <v>0</v>
      </c>
      <c r="I303" t="s">
        <v>20</v>
      </c>
      <c r="J303" t="s">
        <v>482</v>
      </c>
      <c r="K303" t="s">
        <v>22</v>
      </c>
      <c r="L303" s="1">
        <v>22263</v>
      </c>
      <c r="M303">
        <v>31620</v>
      </c>
      <c r="N303" t="s">
        <v>29</v>
      </c>
      <c r="O303" t="s">
        <v>23</v>
      </c>
      <c r="P303" t="s">
        <v>36</v>
      </c>
      <c r="Q303">
        <v>62</v>
      </c>
    </row>
    <row r="304" spans="1:17" x14ac:dyDescent="0.3">
      <c r="A304" t="s">
        <v>637</v>
      </c>
      <c r="B304" t="s">
        <v>638</v>
      </c>
      <c r="C304">
        <v>43.53</v>
      </c>
      <c r="D304">
        <v>5.86</v>
      </c>
      <c r="E304" t="s">
        <v>32</v>
      </c>
      <c r="F304" t="s">
        <v>32</v>
      </c>
      <c r="G304" t="s">
        <v>19</v>
      </c>
      <c r="H304">
        <v>2</v>
      </c>
      <c r="I304" t="s">
        <v>20</v>
      </c>
      <c r="J304" t="s">
        <v>21</v>
      </c>
      <c r="K304" t="s">
        <v>28</v>
      </c>
      <c r="L304" s="1">
        <v>27696</v>
      </c>
      <c r="M304">
        <v>31591.82</v>
      </c>
      <c r="N304" t="s">
        <v>29</v>
      </c>
      <c r="O304" t="s">
        <v>23</v>
      </c>
      <c r="P304" t="s">
        <v>42</v>
      </c>
      <c r="Q304">
        <v>47</v>
      </c>
    </row>
    <row r="305" spans="1:17" x14ac:dyDescent="0.3">
      <c r="A305" t="s">
        <v>639</v>
      </c>
      <c r="B305" t="s">
        <v>640</v>
      </c>
      <c r="C305">
        <v>46.06</v>
      </c>
      <c r="D305">
        <v>4.18</v>
      </c>
      <c r="E305" t="s">
        <v>19</v>
      </c>
      <c r="F305" t="s">
        <v>32</v>
      </c>
      <c r="G305" t="s">
        <v>19</v>
      </c>
      <c r="H305">
        <v>1</v>
      </c>
      <c r="I305" t="s">
        <v>20</v>
      </c>
      <c r="J305" t="s">
        <v>21</v>
      </c>
      <c r="K305" t="s">
        <v>39</v>
      </c>
      <c r="L305" s="1">
        <v>27310</v>
      </c>
      <c r="M305">
        <v>31368.81</v>
      </c>
      <c r="N305" t="s">
        <v>29</v>
      </c>
      <c r="O305" t="s">
        <v>24</v>
      </c>
      <c r="P305" t="s">
        <v>42</v>
      </c>
      <c r="Q305">
        <v>48</v>
      </c>
    </row>
    <row r="306" spans="1:17" x14ac:dyDescent="0.3">
      <c r="A306" t="s">
        <v>641</v>
      </c>
      <c r="B306" t="s">
        <v>642</v>
      </c>
      <c r="C306">
        <v>29.92</v>
      </c>
      <c r="D306">
        <v>11.99</v>
      </c>
      <c r="E306" t="s">
        <v>32</v>
      </c>
      <c r="F306" t="s">
        <v>19</v>
      </c>
      <c r="G306" t="s">
        <v>19</v>
      </c>
      <c r="H306">
        <v>2</v>
      </c>
      <c r="I306" t="s">
        <v>20</v>
      </c>
      <c r="J306" t="s">
        <v>333</v>
      </c>
      <c r="K306" t="s">
        <v>22</v>
      </c>
      <c r="L306" s="1">
        <v>34969</v>
      </c>
      <c r="M306">
        <v>31328.27</v>
      </c>
      <c r="N306" t="s">
        <v>29</v>
      </c>
      <c r="O306" t="s">
        <v>29</v>
      </c>
      <c r="P306" t="s">
        <v>42</v>
      </c>
      <c r="Q306">
        <v>27</v>
      </c>
    </row>
    <row r="307" spans="1:17" x14ac:dyDescent="0.3">
      <c r="A307" t="s">
        <v>643</v>
      </c>
      <c r="B307" t="s">
        <v>514</v>
      </c>
      <c r="C307">
        <v>28.46</v>
      </c>
      <c r="D307">
        <v>4.8499999999999996</v>
      </c>
      <c r="E307" t="s">
        <v>32</v>
      </c>
      <c r="F307" t="s">
        <v>19</v>
      </c>
      <c r="G307" t="s">
        <v>19</v>
      </c>
      <c r="H307">
        <v>1</v>
      </c>
      <c r="I307" t="s">
        <v>20</v>
      </c>
      <c r="J307" t="s">
        <v>333</v>
      </c>
      <c r="K307" t="s">
        <v>39</v>
      </c>
      <c r="L307" s="1">
        <v>25028</v>
      </c>
      <c r="M307">
        <v>31322.53</v>
      </c>
      <c r="N307" t="s">
        <v>29</v>
      </c>
      <c r="O307" t="s">
        <v>23</v>
      </c>
      <c r="P307" t="s">
        <v>42</v>
      </c>
      <c r="Q307">
        <v>54</v>
      </c>
    </row>
    <row r="308" spans="1:17" x14ac:dyDescent="0.3">
      <c r="A308" t="s">
        <v>644</v>
      </c>
      <c r="B308" t="s">
        <v>645</v>
      </c>
      <c r="C308">
        <v>24.56</v>
      </c>
      <c r="D308">
        <v>6.18</v>
      </c>
      <c r="E308" t="s">
        <v>32</v>
      </c>
      <c r="F308" t="s">
        <v>19</v>
      </c>
      <c r="G308" t="s">
        <v>20</v>
      </c>
      <c r="H308">
        <v>1</v>
      </c>
      <c r="I308" t="s">
        <v>20</v>
      </c>
      <c r="J308" t="s">
        <v>482</v>
      </c>
      <c r="K308" t="s">
        <v>28</v>
      </c>
      <c r="L308" s="1">
        <v>36729</v>
      </c>
      <c r="M308">
        <v>31234.560000000001</v>
      </c>
      <c r="N308" t="s">
        <v>23</v>
      </c>
      <c r="O308" t="s">
        <v>23</v>
      </c>
      <c r="P308" t="s">
        <v>42</v>
      </c>
      <c r="Q308">
        <v>22</v>
      </c>
    </row>
    <row r="309" spans="1:17" x14ac:dyDescent="0.3">
      <c r="A309" t="s">
        <v>646</v>
      </c>
      <c r="B309" t="s">
        <v>647</v>
      </c>
      <c r="C309">
        <v>41.19</v>
      </c>
      <c r="D309">
        <v>6.37</v>
      </c>
      <c r="E309" t="s">
        <v>19</v>
      </c>
      <c r="F309" t="s">
        <v>19</v>
      </c>
      <c r="G309" t="s">
        <v>19</v>
      </c>
      <c r="H309">
        <v>0</v>
      </c>
      <c r="I309" t="s">
        <v>20</v>
      </c>
      <c r="J309" t="s">
        <v>21</v>
      </c>
      <c r="K309" t="s">
        <v>28</v>
      </c>
      <c r="L309" s="1">
        <v>38300</v>
      </c>
      <c r="M309">
        <v>31196.61</v>
      </c>
      <c r="N309" t="s">
        <v>29</v>
      </c>
      <c r="O309" t="s">
        <v>23</v>
      </c>
      <c r="P309" t="s">
        <v>42</v>
      </c>
      <c r="Q309">
        <v>18</v>
      </c>
    </row>
    <row r="310" spans="1:17" x14ac:dyDescent="0.3">
      <c r="A310" t="s">
        <v>648</v>
      </c>
      <c r="B310" t="s">
        <v>649</v>
      </c>
      <c r="C310">
        <v>18.63</v>
      </c>
      <c r="D310">
        <v>9.81</v>
      </c>
      <c r="E310" t="s">
        <v>32</v>
      </c>
      <c r="F310" t="s">
        <v>19</v>
      </c>
      <c r="G310" t="s">
        <v>19</v>
      </c>
      <c r="H310">
        <v>2</v>
      </c>
      <c r="I310" t="s">
        <v>20</v>
      </c>
      <c r="J310" t="s">
        <v>482</v>
      </c>
      <c r="K310" t="s">
        <v>22</v>
      </c>
      <c r="L310" s="1">
        <v>22533</v>
      </c>
      <c r="M310">
        <v>30942.19</v>
      </c>
      <c r="N310" t="s">
        <v>29</v>
      </c>
      <c r="O310" t="s">
        <v>29</v>
      </c>
      <c r="P310" t="s">
        <v>25</v>
      </c>
      <c r="Q310">
        <v>61</v>
      </c>
    </row>
    <row r="311" spans="1:17" x14ac:dyDescent="0.3">
      <c r="A311" t="s">
        <v>650</v>
      </c>
      <c r="B311" t="s">
        <v>651</v>
      </c>
      <c r="C311">
        <v>26.26</v>
      </c>
      <c r="D311">
        <v>11.8</v>
      </c>
      <c r="E311" t="s">
        <v>32</v>
      </c>
      <c r="F311" t="s">
        <v>19</v>
      </c>
      <c r="G311" t="s">
        <v>19</v>
      </c>
      <c r="H311">
        <v>1</v>
      </c>
      <c r="I311" t="s">
        <v>20</v>
      </c>
      <c r="J311" t="s">
        <v>333</v>
      </c>
      <c r="K311" t="s">
        <v>22</v>
      </c>
      <c r="L311" s="1">
        <v>32391</v>
      </c>
      <c r="M311">
        <v>30763.01</v>
      </c>
      <c r="N311" t="s">
        <v>29</v>
      </c>
      <c r="O311" t="s">
        <v>23</v>
      </c>
      <c r="P311" t="s">
        <v>42</v>
      </c>
      <c r="Q311">
        <v>34</v>
      </c>
    </row>
    <row r="312" spans="1:17" x14ac:dyDescent="0.3">
      <c r="A312" t="s">
        <v>652</v>
      </c>
      <c r="B312" t="s">
        <v>173</v>
      </c>
      <c r="C312">
        <v>22.37</v>
      </c>
      <c r="D312">
        <v>5.86</v>
      </c>
      <c r="E312" t="s">
        <v>32</v>
      </c>
      <c r="F312" t="s">
        <v>19</v>
      </c>
      <c r="G312" t="s">
        <v>20</v>
      </c>
      <c r="H312">
        <v>1</v>
      </c>
      <c r="I312" t="s">
        <v>20</v>
      </c>
      <c r="J312" t="s">
        <v>482</v>
      </c>
      <c r="K312" t="s">
        <v>28</v>
      </c>
      <c r="L312" s="1">
        <v>30671</v>
      </c>
      <c r="M312">
        <v>30724.44</v>
      </c>
      <c r="N312" t="s">
        <v>29</v>
      </c>
      <c r="O312" t="s">
        <v>24</v>
      </c>
      <c r="P312" t="s">
        <v>42</v>
      </c>
      <c r="Q312">
        <v>39</v>
      </c>
    </row>
    <row r="313" spans="1:17" x14ac:dyDescent="0.3">
      <c r="A313" t="s">
        <v>653</v>
      </c>
      <c r="B313" t="s">
        <v>654</v>
      </c>
      <c r="C313">
        <v>39.619999999999997</v>
      </c>
      <c r="D313">
        <v>4.28</v>
      </c>
      <c r="E313" t="s">
        <v>19</v>
      </c>
      <c r="F313" t="s">
        <v>19</v>
      </c>
      <c r="G313" t="s">
        <v>19</v>
      </c>
      <c r="H313">
        <v>1</v>
      </c>
      <c r="I313" t="s">
        <v>20</v>
      </c>
      <c r="J313" t="s">
        <v>21</v>
      </c>
      <c r="K313" t="s">
        <v>39</v>
      </c>
      <c r="L313" s="1">
        <v>36424</v>
      </c>
      <c r="M313">
        <v>30697.71</v>
      </c>
      <c r="N313" t="s">
        <v>23</v>
      </c>
      <c r="O313" t="s">
        <v>29</v>
      </c>
      <c r="P313" t="s">
        <v>42</v>
      </c>
      <c r="Q313">
        <v>23</v>
      </c>
    </row>
    <row r="314" spans="1:17" x14ac:dyDescent="0.3">
      <c r="A314" t="s">
        <v>655</v>
      </c>
      <c r="B314" t="s">
        <v>656</v>
      </c>
      <c r="C314">
        <v>18.329999999999998</v>
      </c>
      <c r="D314">
        <v>4.16</v>
      </c>
      <c r="E314" t="s">
        <v>32</v>
      </c>
      <c r="F314" t="s">
        <v>19</v>
      </c>
      <c r="G314" t="s">
        <v>19</v>
      </c>
      <c r="H314">
        <v>0</v>
      </c>
      <c r="I314" t="s">
        <v>20</v>
      </c>
      <c r="J314" t="s">
        <v>592</v>
      </c>
      <c r="K314" t="s">
        <v>39</v>
      </c>
      <c r="L314" s="1">
        <v>25883</v>
      </c>
      <c r="M314">
        <v>30625.65</v>
      </c>
      <c r="N314" t="s">
        <v>29</v>
      </c>
      <c r="O314" t="s">
        <v>24</v>
      </c>
      <c r="P314" t="s">
        <v>42</v>
      </c>
      <c r="Q314">
        <v>52</v>
      </c>
    </row>
    <row r="315" spans="1:17" x14ac:dyDescent="0.3">
      <c r="A315" t="s">
        <v>657</v>
      </c>
      <c r="B315" t="s">
        <v>658</v>
      </c>
      <c r="C315">
        <v>17.11</v>
      </c>
      <c r="D315">
        <v>4.9800000000000004</v>
      </c>
      <c r="E315" t="s">
        <v>32</v>
      </c>
      <c r="F315" t="s">
        <v>19</v>
      </c>
      <c r="G315" t="s">
        <v>20</v>
      </c>
      <c r="H315">
        <v>1</v>
      </c>
      <c r="I315" t="s">
        <v>20</v>
      </c>
      <c r="J315" t="s">
        <v>592</v>
      </c>
      <c r="K315" t="s">
        <v>39</v>
      </c>
      <c r="L315" s="1">
        <v>31634</v>
      </c>
      <c r="M315">
        <v>30530.5</v>
      </c>
      <c r="N315" t="s">
        <v>29</v>
      </c>
      <c r="O315" t="s">
        <v>23</v>
      </c>
      <c r="P315" t="s">
        <v>42</v>
      </c>
      <c r="Q315">
        <v>36</v>
      </c>
    </row>
    <row r="316" spans="1:17" x14ac:dyDescent="0.3">
      <c r="A316" t="s">
        <v>659</v>
      </c>
      <c r="B316" t="s">
        <v>660</v>
      </c>
      <c r="C316">
        <v>43.5</v>
      </c>
      <c r="D316">
        <v>6.38</v>
      </c>
      <c r="E316" t="s">
        <v>19</v>
      </c>
      <c r="F316" t="s">
        <v>32</v>
      </c>
      <c r="G316" t="s">
        <v>19</v>
      </c>
      <c r="H316">
        <v>1</v>
      </c>
      <c r="I316" t="s">
        <v>20</v>
      </c>
      <c r="J316" t="s">
        <v>21</v>
      </c>
      <c r="K316" t="s">
        <v>28</v>
      </c>
      <c r="L316" s="1">
        <v>30562</v>
      </c>
      <c r="M316">
        <v>30457.37</v>
      </c>
      <c r="N316" t="s">
        <v>29</v>
      </c>
      <c r="O316" t="s">
        <v>23</v>
      </c>
      <c r="P316" t="s">
        <v>33</v>
      </c>
      <c r="Q316">
        <v>39</v>
      </c>
    </row>
    <row r="317" spans="1:17" x14ac:dyDescent="0.3">
      <c r="A317" t="s">
        <v>661</v>
      </c>
      <c r="B317" t="s">
        <v>662</v>
      </c>
      <c r="C317">
        <v>25.364999999999998</v>
      </c>
      <c r="D317">
        <v>5.19</v>
      </c>
      <c r="E317" t="s">
        <v>19</v>
      </c>
      <c r="F317" t="s">
        <v>19</v>
      </c>
      <c r="G317" t="s">
        <v>19</v>
      </c>
      <c r="H317">
        <v>2</v>
      </c>
      <c r="I317" t="s">
        <v>19</v>
      </c>
      <c r="J317" t="s">
        <v>333</v>
      </c>
      <c r="K317" t="s">
        <v>39</v>
      </c>
      <c r="L317" s="1">
        <v>36096</v>
      </c>
      <c r="M317">
        <v>30422.03</v>
      </c>
      <c r="N317" t="s">
        <v>29</v>
      </c>
      <c r="O317" t="s">
        <v>24</v>
      </c>
      <c r="P317" t="s">
        <v>42</v>
      </c>
      <c r="Q317">
        <v>24</v>
      </c>
    </row>
    <row r="318" spans="1:17" x14ac:dyDescent="0.3">
      <c r="A318" t="s">
        <v>663</v>
      </c>
      <c r="B318" t="s">
        <v>664</v>
      </c>
      <c r="C318">
        <v>28.594999999999999</v>
      </c>
      <c r="D318">
        <v>10.210000000000001</v>
      </c>
      <c r="E318" t="s">
        <v>19</v>
      </c>
      <c r="F318" t="s">
        <v>19</v>
      </c>
      <c r="G318" t="s">
        <v>19</v>
      </c>
      <c r="H318">
        <v>0</v>
      </c>
      <c r="I318" t="s">
        <v>19</v>
      </c>
      <c r="J318" t="s">
        <v>333</v>
      </c>
      <c r="K318" t="s">
        <v>22</v>
      </c>
      <c r="L318" s="1">
        <v>28006</v>
      </c>
      <c r="M318">
        <v>30409.53</v>
      </c>
      <c r="N318" t="s">
        <v>29</v>
      </c>
      <c r="O318" t="s">
        <v>24</v>
      </c>
      <c r="P318" t="s">
        <v>33</v>
      </c>
      <c r="Q318">
        <v>46</v>
      </c>
    </row>
    <row r="319" spans="1:17" x14ac:dyDescent="0.3">
      <c r="A319" t="s">
        <v>665</v>
      </c>
      <c r="B319" t="s">
        <v>666</v>
      </c>
      <c r="C319">
        <v>29.83</v>
      </c>
      <c r="D319">
        <v>9.6999999999999993</v>
      </c>
      <c r="E319" t="s">
        <v>32</v>
      </c>
      <c r="F319" t="s">
        <v>19</v>
      </c>
      <c r="G319" t="s">
        <v>20</v>
      </c>
      <c r="H319">
        <v>1</v>
      </c>
      <c r="I319" t="s">
        <v>20</v>
      </c>
      <c r="J319" t="s">
        <v>333</v>
      </c>
      <c r="K319" t="s">
        <v>22</v>
      </c>
      <c r="L319" s="1">
        <v>25414</v>
      </c>
      <c r="M319">
        <v>30366.93</v>
      </c>
      <c r="N319" t="s">
        <v>29</v>
      </c>
      <c r="O319" t="s">
        <v>29</v>
      </c>
      <c r="P319" t="s">
        <v>42</v>
      </c>
      <c r="Q319">
        <v>53</v>
      </c>
    </row>
    <row r="320" spans="1:17" x14ac:dyDescent="0.3">
      <c r="A320" t="s">
        <v>667</v>
      </c>
      <c r="B320" t="s">
        <v>668</v>
      </c>
      <c r="C320">
        <v>24.7</v>
      </c>
      <c r="D320">
        <v>10.25</v>
      </c>
      <c r="E320" t="s">
        <v>19</v>
      </c>
      <c r="F320" t="s">
        <v>19</v>
      </c>
      <c r="G320" t="s">
        <v>19</v>
      </c>
      <c r="H320">
        <v>3</v>
      </c>
      <c r="I320" t="s">
        <v>19</v>
      </c>
      <c r="J320" t="s">
        <v>482</v>
      </c>
      <c r="K320" t="s">
        <v>22</v>
      </c>
      <c r="L320" s="1">
        <v>38139</v>
      </c>
      <c r="M320">
        <v>30328.27</v>
      </c>
      <c r="N320" t="s">
        <v>29</v>
      </c>
      <c r="O320" t="s">
        <v>29</v>
      </c>
      <c r="P320" t="s">
        <v>42</v>
      </c>
      <c r="Q320">
        <v>19</v>
      </c>
    </row>
    <row r="321" spans="1:17" x14ac:dyDescent="0.3">
      <c r="A321" t="s">
        <v>669</v>
      </c>
      <c r="B321" t="s">
        <v>670</v>
      </c>
      <c r="C321">
        <v>17.940000000000001</v>
      </c>
      <c r="D321">
        <v>9.77</v>
      </c>
      <c r="E321" t="s">
        <v>19</v>
      </c>
      <c r="F321" t="s">
        <v>19</v>
      </c>
      <c r="G321" t="s">
        <v>19</v>
      </c>
      <c r="H321">
        <v>0</v>
      </c>
      <c r="I321" t="s">
        <v>20</v>
      </c>
      <c r="J321" t="s">
        <v>592</v>
      </c>
      <c r="K321" t="s">
        <v>22</v>
      </c>
      <c r="L321" s="1">
        <v>26504</v>
      </c>
      <c r="M321">
        <v>30284.639999999999</v>
      </c>
      <c r="N321" t="s">
        <v>23</v>
      </c>
      <c r="O321" t="s">
        <v>23</v>
      </c>
      <c r="P321" t="s">
        <v>33</v>
      </c>
      <c r="Q321">
        <v>50</v>
      </c>
    </row>
    <row r="322" spans="1:17" x14ac:dyDescent="0.3">
      <c r="A322" t="s">
        <v>671</v>
      </c>
      <c r="B322" t="s">
        <v>672</v>
      </c>
      <c r="C322">
        <v>21.08</v>
      </c>
      <c r="D322">
        <v>4.83</v>
      </c>
      <c r="E322" t="s">
        <v>19</v>
      </c>
      <c r="F322" t="s">
        <v>19</v>
      </c>
      <c r="G322" t="s">
        <v>20</v>
      </c>
      <c r="H322">
        <v>1</v>
      </c>
      <c r="I322" t="s">
        <v>20</v>
      </c>
      <c r="J322" t="s">
        <v>482</v>
      </c>
      <c r="K322" t="s">
        <v>39</v>
      </c>
      <c r="L322" s="1">
        <v>22904</v>
      </c>
      <c r="M322">
        <v>30260</v>
      </c>
      <c r="N322" t="s">
        <v>23</v>
      </c>
      <c r="O322" t="s">
        <v>23</v>
      </c>
      <c r="P322" t="s">
        <v>261</v>
      </c>
      <c r="Q322">
        <v>60</v>
      </c>
    </row>
    <row r="323" spans="1:17" x14ac:dyDescent="0.3">
      <c r="A323" t="s">
        <v>673</v>
      </c>
      <c r="B323" t="s">
        <v>674</v>
      </c>
      <c r="C323">
        <v>37.715000000000003</v>
      </c>
      <c r="D323">
        <v>10.86</v>
      </c>
      <c r="E323" t="s">
        <v>32</v>
      </c>
      <c r="F323" t="s">
        <v>19</v>
      </c>
      <c r="G323" t="s">
        <v>19</v>
      </c>
      <c r="H323">
        <v>0</v>
      </c>
      <c r="I323" t="s">
        <v>19</v>
      </c>
      <c r="J323" t="s">
        <v>21</v>
      </c>
      <c r="K323" t="s">
        <v>22</v>
      </c>
      <c r="L323" s="1">
        <v>23267</v>
      </c>
      <c r="M323">
        <v>30184.94</v>
      </c>
      <c r="N323" t="s">
        <v>23</v>
      </c>
      <c r="O323" t="s">
        <v>23</v>
      </c>
      <c r="P323" t="s">
        <v>261</v>
      </c>
      <c r="Q323">
        <v>59</v>
      </c>
    </row>
    <row r="324" spans="1:17" x14ac:dyDescent="0.3">
      <c r="A324" t="s">
        <v>675</v>
      </c>
      <c r="B324" t="s">
        <v>599</v>
      </c>
      <c r="C324">
        <v>22.39</v>
      </c>
      <c r="D324">
        <v>9.5299999999999994</v>
      </c>
      <c r="E324" t="s">
        <v>32</v>
      </c>
      <c r="F324" t="s">
        <v>19</v>
      </c>
      <c r="G324" t="s">
        <v>19</v>
      </c>
      <c r="H324">
        <v>0</v>
      </c>
      <c r="I324" t="s">
        <v>20</v>
      </c>
      <c r="J324" t="s">
        <v>482</v>
      </c>
      <c r="K324" t="s">
        <v>22</v>
      </c>
      <c r="L324" s="1">
        <v>21408</v>
      </c>
      <c r="M324">
        <v>30166.62</v>
      </c>
      <c r="N324" t="s">
        <v>23</v>
      </c>
      <c r="O324" t="s">
        <v>24</v>
      </c>
      <c r="P324" t="s">
        <v>33</v>
      </c>
      <c r="Q324">
        <v>64</v>
      </c>
    </row>
    <row r="325" spans="1:17" x14ac:dyDescent="0.3">
      <c r="A325" t="s">
        <v>676</v>
      </c>
      <c r="B325" t="s">
        <v>677</v>
      </c>
      <c r="C325">
        <v>28.78</v>
      </c>
      <c r="D325">
        <v>5.68</v>
      </c>
      <c r="E325" t="s">
        <v>19</v>
      </c>
      <c r="F325" t="s">
        <v>19</v>
      </c>
      <c r="G325" t="s">
        <v>19</v>
      </c>
      <c r="H325">
        <v>0</v>
      </c>
      <c r="I325" t="s">
        <v>20</v>
      </c>
      <c r="J325" t="s">
        <v>333</v>
      </c>
      <c r="K325" t="s">
        <v>39</v>
      </c>
      <c r="L325" s="1">
        <v>26292</v>
      </c>
      <c r="M325">
        <v>30134.75</v>
      </c>
      <c r="N325" t="s">
        <v>29</v>
      </c>
      <c r="O325" t="s">
        <v>24</v>
      </c>
      <c r="P325" t="s">
        <v>42</v>
      </c>
      <c r="Q325">
        <v>51</v>
      </c>
    </row>
    <row r="326" spans="1:17" x14ac:dyDescent="0.3">
      <c r="A326" t="s">
        <v>678</v>
      </c>
      <c r="B326" t="s">
        <v>679</v>
      </c>
      <c r="C326">
        <v>18.329999999999998</v>
      </c>
      <c r="D326">
        <v>5.57</v>
      </c>
      <c r="E326" t="s">
        <v>32</v>
      </c>
      <c r="F326" t="s">
        <v>19</v>
      </c>
      <c r="G326" t="s">
        <v>19</v>
      </c>
      <c r="H326">
        <v>0</v>
      </c>
      <c r="I326" t="s">
        <v>20</v>
      </c>
      <c r="J326" t="s">
        <v>592</v>
      </c>
      <c r="K326" t="s">
        <v>39</v>
      </c>
      <c r="L326" s="1">
        <v>29100</v>
      </c>
      <c r="M326">
        <v>30095.97</v>
      </c>
      <c r="N326" t="s">
        <v>29</v>
      </c>
      <c r="O326" t="s">
        <v>24</v>
      </c>
      <c r="P326" t="s">
        <v>42</v>
      </c>
      <c r="Q326">
        <v>43</v>
      </c>
    </row>
    <row r="327" spans="1:17" x14ac:dyDescent="0.3">
      <c r="A327" t="s">
        <v>680</v>
      </c>
      <c r="B327" t="s">
        <v>681</v>
      </c>
      <c r="C327">
        <v>26.39</v>
      </c>
      <c r="D327">
        <v>4.58</v>
      </c>
      <c r="E327" t="s">
        <v>32</v>
      </c>
      <c r="F327" t="s">
        <v>19</v>
      </c>
      <c r="G327" t="s">
        <v>19</v>
      </c>
      <c r="H327">
        <v>1</v>
      </c>
      <c r="I327" t="s">
        <v>20</v>
      </c>
      <c r="J327" t="s">
        <v>333</v>
      </c>
      <c r="K327" t="s">
        <v>39</v>
      </c>
      <c r="L327" s="1">
        <v>24639</v>
      </c>
      <c r="M327">
        <v>30063.58</v>
      </c>
      <c r="N327" t="s">
        <v>23</v>
      </c>
      <c r="O327" t="s">
        <v>23</v>
      </c>
      <c r="P327" t="s">
        <v>33</v>
      </c>
      <c r="Q327">
        <v>55</v>
      </c>
    </row>
    <row r="328" spans="1:17" x14ac:dyDescent="0.3">
      <c r="A328" t="s">
        <v>682</v>
      </c>
      <c r="B328" t="s">
        <v>683</v>
      </c>
      <c r="C328">
        <v>19.260000000000002</v>
      </c>
      <c r="D328">
        <v>8.9600000000000009</v>
      </c>
      <c r="E328" t="s">
        <v>32</v>
      </c>
      <c r="F328" t="s">
        <v>19</v>
      </c>
      <c r="G328" t="s">
        <v>19</v>
      </c>
      <c r="H328">
        <v>1</v>
      </c>
      <c r="I328" t="s">
        <v>20</v>
      </c>
      <c r="J328" t="s">
        <v>482</v>
      </c>
      <c r="K328" t="s">
        <v>22</v>
      </c>
      <c r="L328" s="1">
        <v>29802</v>
      </c>
      <c r="M328">
        <v>30026.87</v>
      </c>
      <c r="N328" t="s">
        <v>29</v>
      </c>
      <c r="O328" t="s">
        <v>24</v>
      </c>
      <c r="P328" t="s">
        <v>33</v>
      </c>
      <c r="Q328">
        <v>41</v>
      </c>
    </row>
    <row r="329" spans="1:17" x14ac:dyDescent="0.3">
      <c r="A329" t="s">
        <v>684</v>
      </c>
      <c r="B329" t="s">
        <v>685</v>
      </c>
      <c r="C329">
        <v>26.92</v>
      </c>
      <c r="D329">
        <v>6.09</v>
      </c>
      <c r="E329" t="s">
        <v>19</v>
      </c>
      <c r="F329" t="s">
        <v>19</v>
      </c>
      <c r="G329" t="s">
        <v>19</v>
      </c>
      <c r="H329">
        <v>0</v>
      </c>
      <c r="I329" t="s">
        <v>20</v>
      </c>
      <c r="J329" t="s">
        <v>333</v>
      </c>
      <c r="K329" t="s">
        <v>28</v>
      </c>
      <c r="L329" s="1">
        <v>33516</v>
      </c>
      <c r="M329">
        <v>29969.67</v>
      </c>
      <c r="N329" t="s">
        <v>23</v>
      </c>
      <c r="O329" t="s">
        <v>23</v>
      </c>
      <c r="P329" t="s">
        <v>42</v>
      </c>
      <c r="Q329">
        <v>31</v>
      </c>
    </row>
    <row r="330" spans="1:17" x14ac:dyDescent="0.3">
      <c r="A330" t="s">
        <v>686</v>
      </c>
      <c r="B330" t="s">
        <v>687</v>
      </c>
      <c r="C330">
        <v>19.73</v>
      </c>
      <c r="D330">
        <v>4.3600000000000003</v>
      </c>
      <c r="E330" t="s">
        <v>19</v>
      </c>
      <c r="F330" t="s">
        <v>19</v>
      </c>
      <c r="G330" t="s">
        <v>19</v>
      </c>
      <c r="H330">
        <v>0</v>
      </c>
      <c r="I330" t="s">
        <v>20</v>
      </c>
      <c r="J330" t="s">
        <v>482</v>
      </c>
      <c r="K330" t="s">
        <v>39</v>
      </c>
      <c r="L330" s="1">
        <v>27923</v>
      </c>
      <c r="M330">
        <v>29933.75</v>
      </c>
      <c r="N330" t="s">
        <v>23</v>
      </c>
      <c r="O330" t="s">
        <v>23</v>
      </c>
      <c r="P330" t="s">
        <v>42</v>
      </c>
      <c r="Q330">
        <v>46</v>
      </c>
    </row>
    <row r="331" spans="1:17" x14ac:dyDescent="0.3">
      <c r="A331" t="s">
        <v>688</v>
      </c>
      <c r="B331" t="s">
        <v>689</v>
      </c>
      <c r="C331">
        <v>23.56</v>
      </c>
      <c r="D331">
        <v>11.74</v>
      </c>
      <c r="E331" t="s">
        <v>32</v>
      </c>
      <c r="F331" t="s">
        <v>19</v>
      </c>
      <c r="G331" t="s">
        <v>19</v>
      </c>
      <c r="H331">
        <v>0</v>
      </c>
      <c r="I331" t="s">
        <v>20</v>
      </c>
      <c r="J331" t="s">
        <v>482</v>
      </c>
      <c r="K331" t="s">
        <v>22</v>
      </c>
      <c r="L331" s="1">
        <v>32507</v>
      </c>
      <c r="M331">
        <v>29929.56</v>
      </c>
      <c r="N331" t="s">
        <v>23</v>
      </c>
      <c r="O331" t="s">
        <v>23</v>
      </c>
      <c r="P331" t="s">
        <v>42</v>
      </c>
      <c r="Q331">
        <v>34</v>
      </c>
    </row>
    <row r="332" spans="1:17" x14ac:dyDescent="0.3">
      <c r="A332" t="s">
        <v>690</v>
      </c>
      <c r="B332" t="s">
        <v>691</v>
      </c>
      <c r="C332">
        <v>37.67</v>
      </c>
      <c r="D332">
        <v>5.89</v>
      </c>
      <c r="E332" t="s">
        <v>19</v>
      </c>
      <c r="F332" t="s">
        <v>19</v>
      </c>
      <c r="G332" t="s">
        <v>19</v>
      </c>
      <c r="H332">
        <v>1</v>
      </c>
      <c r="I332" t="s">
        <v>20</v>
      </c>
      <c r="J332" t="s">
        <v>21</v>
      </c>
      <c r="K332" t="s">
        <v>28</v>
      </c>
      <c r="L332" s="1">
        <v>27625</v>
      </c>
      <c r="M332">
        <v>29899.25</v>
      </c>
      <c r="N332" t="s">
        <v>23</v>
      </c>
      <c r="O332" t="s">
        <v>24</v>
      </c>
      <c r="P332" t="s">
        <v>42</v>
      </c>
      <c r="Q332">
        <v>47</v>
      </c>
    </row>
    <row r="333" spans="1:17" x14ac:dyDescent="0.3">
      <c r="A333" t="s">
        <v>692</v>
      </c>
      <c r="B333" t="s">
        <v>693</v>
      </c>
      <c r="C333">
        <v>18.73</v>
      </c>
      <c r="D333">
        <v>10.64</v>
      </c>
      <c r="E333" t="s">
        <v>19</v>
      </c>
      <c r="F333" t="s">
        <v>19</v>
      </c>
      <c r="G333" t="s">
        <v>19</v>
      </c>
      <c r="H333">
        <v>2</v>
      </c>
      <c r="I333" t="s">
        <v>20</v>
      </c>
      <c r="J333" t="s">
        <v>482</v>
      </c>
      <c r="K333" t="s">
        <v>22</v>
      </c>
      <c r="L333" s="1">
        <v>32872</v>
      </c>
      <c r="M333">
        <v>29852.48</v>
      </c>
      <c r="N333" t="s">
        <v>23</v>
      </c>
      <c r="O333" t="s">
        <v>24</v>
      </c>
      <c r="P333" t="s">
        <v>42</v>
      </c>
      <c r="Q333">
        <v>33</v>
      </c>
    </row>
    <row r="334" spans="1:17" x14ac:dyDescent="0.3">
      <c r="A334" t="s">
        <v>694</v>
      </c>
      <c r="B334" t="s">
        <v>695</v>
      </c>
      <c r="C334">
        <v>33.090000000000003</v>
      </c>
      <c r="D334">
        <v>6.06</v>
      </c>
      <c r="E334" t="s">
        <v>19</v>
      </c>
      <c r="F334" t="s">
        <v>19</v>
      </c>
      <c r="G334" t="s">
        <v>20</v>
      </c>
      <c r="H334">
        <v>1</v>
      </c>
      <c r="I334" t="s">
        <v>20</v>
      </c>
      <c r="J334" t="s">
        <v>21</v>
      </c>
      <c r="K334" t="s">
        <v>28</v>
      </c>
      <c r="L334" s="1">
        <v>30253</v>
      </c>
      <c r="M334">
        <v>29818.76</v>
      </c>
      <c r="N334" t="s">
        <v>23</v>
      </c>
      <c r="O334" t="s">
        <v>23</v>
      </c>
      <c r="P334" t="s">
        <v>33</v>
      </c>
      <c r="Q334">
        <v>40</v>
      </c>
    </row>
    <row r="335" spans="1:17" x14ac:dyDescent="0.3">
      <c r="A335" t="s">
        <v>696</v>
      </c>
      <c r="B335" t="s">
        <v>697</v>
      </c>
      <c r="C335">
        <v>18.329999999999998</v>
      </c>
      <c r="D335">
        <v>7.46</v>
      </c>
      <c r="E335" t="s">
        <v>32</v>
      </c>
      <c r="F335" t="s">
        <v>19</v>
      </c>
      <c r="G335" t="s">
        <v>19</v>
      </c>
      <c r="H335">
        <v>1</v>
      </c>
      <c r="I335" t="s">
        <v>20</v>
      </c>
      <c r="J335" t="s">
        <v>592</v>
      </c>
      <c r="K335" t="s">
        <v>22</v>
      </c>
      <c r="L335" s="1">
        <v>29811</v>
      </c>
      <c r="M335">
        <v>29816.639999999999</v>
      </c>
      <c r="N335" t="s">
        <v>23</v>
      </c>
      <c r="O335" t="s">
        <v>29</v>
      </c>
      <c r="P335" t="s">
        <v>42</v>
      </c>
      <c r="Q335">
        <v>41</v>
      </c>
    </row>
    <row r="336" spans="1:17" x14ac:dyDescent="0.3">
      <c r="A336" t="s">
        <v>698</v>
      </c>
      <c r="B336" t="s">
        <v>699</v>
      </c>
      <c r="C336">
        <v>27.74</v>
      </c>
      <c r="D336">
        <v>4.68</v>
      </c>
      <c r="E336" t="s">
        <v>32</v>
      </c>
      <c r="F336" t="s">
        <v>19</v>
      </c>
      <c r="G336" t="s">
        <v>19</v>
      </c>
      <c r="H336">
        <v>2</v>
      </c>
      <c r="I336" t="s">
        <v>20</v>
      </c>
      <c r="J336" t="s">
        <v>333</v>
      </c>
      <c r="K336" t="s">
        <v>39</v>
      </c>
      <c r="L336" s="1">
        <v>35966</v>
      </c>
      <c r="M336">
        <v>29760.6</v>
      </c>
      <c r="N336" t="s">
        <v>23</v>
      </c>
      <c r="O336" t="s">
        <v>29</v>
      </c>
      <c r="P336" t="s">
        <v>42</v>
      </c>
      <c r="Q336">
        <v>24</v>
      </c>
    </row>
    <row r="337" spans="1:17" x14ac:dyDescent="0.3">
      <c r="A337" t="s">
        <v>700</v>
      </c>
      <c r="B337" t="s">
        <v>701</v>
      </c>
      <c r="C337">
        <v>24.2</v>
      </c>
      <c r="D337">
        <v>6.15</v>
      </c>
      <c r="E337" t="s">
        <v>19</v>
      </c>
      <c r="F337" t="s">
        <v>19</v>
      </c>
      <c r="G337" t="s">
        <v>19</v>
      </c>
      <c r="H337">
        <v>1</v>
      </c>
      <c r="I337" t="s">
        <v>20</v>
      </c>
      <c r="J337" t="s">
        <v>482</v>
      </c>
      <c r="K337" t="s">
        <v>28</v>
      </c>
      <c r="L337" s="1">
        <v>26899</v>
      </c>
      <c r="M337">
        <v>29757.69</v>
      </c>
      <c r="N337" t="s">
        <v>23</v>
      </c>
      <c r="O337" t="s">
        <v>24</v>
      </c>
      <c r="P337" t="s">
        <v>42</v>
      </c>
      <c r="Q337">
        <v>49</v>
      </c>
    </row>
    <row r="338" spans="1:17" x14ac:dyDescent="0.3">
      <c r="A338" t="s">
        <v>702</v>
      </c>
      <c r="B338" t="s">
        <v>703</v>
      </c>
      <c r="C338">
        <v>22.03</v>
      </c>
      <c r="D338">
        <v>4.28</v>
      </c>
      <c r="E338" t="s">
        <v>32</v>
      </c>
      <c r="F338" t="s">
        <v>19</v>
      </c>
      <c r="G338" t="s">
        <v>19</v>
      </c>
      <c r="H338">
        <v>0</v>
      </c>
      <c r="I338" t="s">
        <v>20</v>
      </c>
      <c r="J338" t="s">
        <v>482</v>
      </c>
      <c r="K338" t="s">
        <v>39</v>
      </c>
      <c r="L338" s="1">
        <v>34177</v>
      </c>
      <c r="M338">
        <v>29622.69</v>
      </c>
      <c r="N338" t="s">
        <v>23</v>
      </c>
      <c r="O338" t="s">
        <v>23</v>
      </c>
      <c r="P338" t="s">
        <v>42</v>
      </c>
      <c r="Q338">
        <v>29</v>
      </c>
    </row>
    <row r="339" spans="1:17" x14ac:dyDescent="0.3">
      <c r="A339" t="s">
        <v>704</v>
      </c>
      <c r="B339" t="s">
        <v>705</v>
      </c>
      <c r="C339">
        <v>26.885000000000002</v>
      </c>
      <c r="D339">
        <v>9.86</v>
      </c>
      <c r="E339" t="s">
        <v>19</v>
      </c>
      <c r="F339" t="s">
        <v>19</v>
      </c>
      <c r="G339" t="s">
        <v>19</v>
      </c>
      <c r="H339">
        <v>3</v>
      </c>
      <c r="I339" t="s">
        <v>20</v>
      </c>
      <c r="J339" t="s">
        <v>333</v>
      </c>
      <c r="K339" t="s">
        <v>22</v>
      </c>
      <c r="L339" s="1">
        <v>27701</v>
      </c>
      <c r="M339">
        <v>29583.8</v>
      </c>
      <c r="N339" t="s">
        <v>23</v>
      </c>
      <c r="O339" t="s">
        <v>23</v>
      </c>
      <c r="P339" t="s">
        <v>42</v>
      </c>
      <c r="Q339">
        <v>47</v>
      </c>
    </row>
    <row r="340" spans="1:17" x14ac:dyDescent="0.3">
      <c r="A340" t="s">
        <v>706</v>
      </c>
      <c r="B340" t="s">
        <v>707</v>
      </c>
      <c r="C340">
        <v>16.36</v>
      </c>
      <c r="D340">
        <v>11.19</v>
      </c>
      <c r="E340" t="s">
        <v>19</v>
      </c>
      <c r="F340" t="s">
        <v>19</v>
      </c>
      <c r="G340" t="s">
        <v>19</v>
      </c>
      <c r="H340">
        <v>0</v>
      </c>
      <c r="I340" t="s">
        <v>20</v>
      </c>
      <c r="J340" t="s">
        <v>592</v>
      </c>
      <c r="K340" t="s">
        <v>22</v>
      </c>
      <c r="L340" s="1">
        <v>21843</v>
      </c>
      <c r="M340">
        <v>29523.17</v>
      </c>
      <c r="N340" t="s">
        <v>23</v>
      </c>
      <c r="O340" t="s">
        <v>29</v>
      </c>
      <c r="P340" t="s">
        <v>36</v>
      </c>
      <c r="Q340">
        <v>63</v>
      </c>
    </row>
    <row r="341" spans="1:17" x14ac:dyDescent="0.3">
      <c r="A341" t="s">
        <v>708</v>
      </c>
      <c r="B341" t="s">
        <v>709</v>
      </c>
      <c r="C341">
        <v>32.299999999999997</v>
      </c>
      <c r="D341">
        <v>4.8899999999999997</v>
      </c>
      <c r="E341" t="s">
        <v>32</v>
      </c>
      <c r="F341" t="s">
        <v>19</v>
      </c>
      <c r="G341" t="s">
        <v>20</v>
      </c>
      <c r="H341">
        <v>1</v>
      </c>
      <c r="I341" t="s">
        <v>19</v>
      </c>
      <c r="J341" t="s">
        <v>21</v>
      </c>
      <c r="K341" t="s">
        <v>39</v>
      </c>
      <c r="L341" s="1">
        <v>31974</v>
      </c>
      <c r="M341">
        <v>29443.59</v>
      </c>
      <c r="N341" t="s">
        <v>23</v>
      </c>
      <c r="O341" t="s">
        <v>23</v>
      </c>
      <c r="P341" t="s">
        <v>42</v>
      </c>
      <c r="Q341">
        <v>35</v>
      </c>
    </row>
    <row r="342" spans="1:17" x14ac:dyDescent="0.3">
      <c r="A342" t="s">
        <v>710</v>
      </c>
      <c r="B342" t="s">
        <v>711</v>
      </c>
      <c r="C342">
        <v>16.05</v>
      </c>
      <c r="D342">
        <v>4.3499999999999996</v>
      </c>
      <c r="E342" t="s">
        <v>32</v>
      </c>
      <c r="F342" t="s">
        <v>19</v>
      </c>
      <c r="G342" t="s">
        <v>19</v>
      </c>
      <c r="H342">
        <v>0</v>
      </c>
      <c r="I342" t="s">
        <v>20</v>
      </c>
      <c r="J342" t="s">
        <v>592</v>
      </c>
      <c r="K342" t="s">
        <v>39</v>
      </c>
      <c r="L342" s="1">
        <v>31358</v>
      </c>
      <c r="M342">
        <v>29352.560000000001</v>
      </c>
      <c r="N342" t="s">
        <v>23</v>
      </c>
      <c r="O342" t="s">
        <v>23</v>
      </c>
      <c r="P342" t="s">
        <v>42</v>
      </c>
      <c r="Q342">
        <v>37</v>
      </c>
    </row>
    <row r="343" spans="1:17" x14ac:dyDescent="0.3">
      <c r="A343" t="s">
        <v>712</v>
      </c>
      <c r="B343" t="s">
        <v>713</v>
      </c>
      <c r="C343">
        <v>29.07</v>
      </c>
      <c r="D343">
        <v>8.66</v>
      </c>
      <c r="E343" t="s">
        <v>32</v>
      </c>
      <c r="F343" t="s">
        <v>19</v>
      </c>
      <c r="G343" t="s">
        <v>19</v>
      </c>
      <c r="H343">
        <v>2</v>
      </c>
      <c r="I343" t="s">
        <v>20</v>
      </c>
      <c r="J343" t="s">
        <v>333</v>
      </c>
      <c r="K343" t="s">
        <v>22</v>
      </c>
      <c r="L343" s="1">
        <v>21341</v>
      </c>
      <c r="M343">
        <v>29330.98</v>
      </c>
      <c r="N343" t="s">
        <v>23</v>
      </c>
      <c r="O343" t="s">
        <v>29</v>
      </c>
      <c r="P343" t="s">
        <v>33</v>
      </c>
      <c r="Q343">
        <v>65</v>
      </c>
    </row>
    <row r="344" spans="1:17" x14ac:dyDescent="0.3">
      <c r="A344" t="s">
        <v>714</v>
      </c>
      <c r="B344" t="s">
        <v>715</v>
      </c>
      <c r="C344">
        <v>17.43</v>
      </c>
      <c r="D344">
        <v>8.64</v>
      </c>
      <c r="E344" t="s">
        <v>19</v>
      </c>
      <c r="F344" t="s">
        <v>19</v>
      </c>
      <c r="G344" t="s">
        <v>19</v>
      </c>
      <c r="H344">
        <v>0</v>
      </c>
      <c r="I344" t="s">
        <v>20</v>
      </c>
      <c r="J344" t="s">
        <v>592</v>
      </c>
      <c r="K344" t="s">
        <v>22</v>
      </c>
      <c r="L344" s="1">
        <v>28692</v>
      </c>
      <c r="M344">
        <v>29227.599999999999</v>
      </c>
      <c r="N344" t="s">
        <v>23</v>
      </c>
      <c r="O344" t="s">
        <v>24</v>
      </c>
      <c r="P344" t="s">
        <v>33</v>
      </c>
      <c r="Q344">
        <v>44</v>
      </c>
    </row>
    <row r="345" spans="1:17" x14ac:dyDescent="0.3">
      <c r="A345" t="s">
        <v>716</v>
      </c>
      <c r="B345" t="s">
        <v>717</v>
      </c>
      <c r="C345">
        <v>19.329999999999998</v>
      </c>
      <c r="D345">
        <v>4.2699999999999996</v>
      </c>
      <c r="E345" t="s">
        <v>19</v>
      </c>
      <c r="F345" t="s">
        <v>19</v>
      </c>
      <c r="G345" t="s">
        <v>19</v>
      </c>
      <c r="H345">
        <v>0</v>
      </c>
      <c r="I345" t="s">
        <v>20</v>
      </c>
      <c r="J345" t="s">
        <v>482</v>
      </c>
      <c r="K345" t="s">
        <v>39</v>
      </c>
      <c r="L345" s="1">
        <v>25393</v>
      </c>
      <c r="M345">
        <v>29186.48</v>
      </c>
      <c r="N345" t="s">
        <v>23</v>
      </c>
      <c r="O345" t="s">
        <v>24</v>
      </c>
      <c r="P345" t="s">
        <v>36</v>
      </c>
      <c r="Q345">
        <v>53</v>
      </c>
    </row>
    <row r="346" spans="1:17" x14ac:dyDescent="0.3">
      <c r="A346" t="s">
        <v>718</v>
      </c>
      <c r="B346" t="s">
        <v>719</v>
      </c>
      <c r="C346">
        <v>30.52</v>
      </c>
      <c r="D346">
        <v>4.21</v>
      </c>
      <c r="E346" t="s">
        <v>19</v>
      </c>
      <c r="F346" t="s">
        <v>19</v>
      </c>
      <c r="G346" t="s">
        <v>19</v>
      </c>
      <c r="H346">
        <v>1</v>
      </c>
      <c r="I346" t="s">
        <v>20</v>
      </c>
      <c r="J346" t="s">
        <v>21</v>
      </c>
      <c r="K346" t="s">
        <v>39</v>
      </c>
      <c r="L346" s="1">
        <v>28072</v>
      </c>
      <c r="M346">
        <v>29160.39</v>
      </c>
      <c r="N346" t="s">
        <v>23</v>
      </c>
      <c r="O346" t="s">
        <v>29</v>
      </c>
      <c r="P346" t="s">
        <v>42</v>
      </c>
      <c r="Q346">
        <v>46</v>
      </c>
    </row>
    <row r="347" spans="1:17" x14ac:dyDescent="0.3">
      <c r="A347" t="s">
        <v>720</v>
      </c>
      <c r="B347" t="s">
        <v>721</v>
      </c>
      <c r="C347">
        <v>39.21</v>
      </c>
      <c r="D347">
        <v>5.04</v>
      </c>
      <c r="E347" t="s">
        <v>19</v>
      </c>
      <c r="F347" t="s">
        <v>19</v>
      </c>
      <c r="G347" t="s">
        <v>20</v>
      </c>
      <c r="H347">
        <v>1</v>
      </c>
      <c r="I347" t="s">
        <v>20</v>
      </c>
      <c r="J347" t="s">
        <v>21</v>
      </c>
      <c r="K347" t="s">
        <v>39</v>
      </c>
      <c r="L347" s="1">
        <v>22639</v>
      </c>
      <c r="M347">
        <v>29141.360000000001</v>
      </c>
      <c r="N347" t="s">
        <v>23</v>
      </c>
      <c r="O347" t="s">
        <v>24</v>
      </c>
      <c r="P347" t="s">
        <v>33</v>
      </c>
      <c r="Q347">
        <v>61</v>
      </c>
    </row>
    <row r="348" spans="1:17" x14ac:dyDescent="0.3">
      <c r="A348" t="s">
        <v>722</v>
      </c>
      <c r="B348" t="s">
        <v>723</v>
      </c>
      <c r="C348">
        <v>26.98</v>
      </c>
      <c r="D348">
        <v>5.21</v>
      </c>
      <c r="E348" t="s">
        <v>32</v>
      </c>
      <c r="F348" t="s">
        <v>19</v>
      </c>
      <c r="G348" t="s">
        <v>19</v>
      </c>
      <c r="H348">
        <v>2</v>
      </c>
      <c r="I348" t="s">
        <v>20</v>
      </c>
      <c r="J348" t="s">
        <v>333</v>
      </c>
      <c r="K348" t="s">
        <v>39</v>
      </c>
      <c r="L348" s="1">
        <v>28823</v>
      </c>
      <c r="M348">
        <v>29114.77</v>
      </c>
      <c r="N348" t="s">
        <v>23</v>
      </c>
      <c r="O348" t="s">
        <v>23</v>
      </c>
      <c r="P348" t="s">
        <v>42</v>
      </c>
      <c r="Q348">
        <v>44</v>
      </c>
    </row>
    <row r="349" spans="1:17" x14ac:dyDescent="0.3">
      <c r="A349" t="s">
        <v>724</v>
      </c>
      <c r="B349" t="s">
        <v>725</v>
      </c>
      <c r="C349">
        <v>25.84</v>
      </c>
      <c r="D349">
        <v>8.83</v>
      </c>
      <c r="E349" t="s">
        <v>19</v>
      </c>
      <c r="F349" t="s">
        <v>19</v>
      </c>
      <c r="G349" t="s">
        <v>19</v>
      </c>
      <c r="H349">
        <v>0</v>
      </c>
      <c r="I349" t="s">
        <v>19</v>
      </c>
      <c r="J349" t="s">
        <v>333</v>
      </c>
      <c r="K349" t="s">
        <v>22</v>
      </c>
      <c r="L349" s="1">
        <v>29416</v>
      </c>
      <c r="M349">
        <v>29114.21</v>
      </c>
      <c r="N349" t="s">
        <v>23</v>
      </c>
      <c r="O349" t="s">
        <v>24</v>
      </c>
      <c r="P349" t="s">
        <v>42</v>
      </c>
      <c r="Q349">
        <v>42</v>
      </c>
    </row>
    <row r="350" spans="1:17" x14ac:dyDescent="0.3">
      <c r="A350" t="s">
        <v>726</v>
      </c>
      <c r="B350" t="s">
        <v>727</v>
      </c>
      <c r="C350">
        <v>28.31</v>
      </c>
      <c r="D350">
        <v>8.4700000000000006</v>
      </c>
      <c r="E350" t="s">
        <v>32</v>
      </c>
      <c r="F350" t="s">
        <v>19</v>
      </c>
      <c r="G350" t="s">
        <v>19</v>
      </c>
      <c r="H350">
        <v>2</v>
      </c>
      <c r="I350" t="s">
        <v>20</v>
      </c>
      <c r="J350" t="s">
        <v>333</v>
      </c>
      <c r="K350" t="s">
        <v>22</v>
      </c>
      <c r="L350" s="1">
        <v>33792</v>
      </c>
      <c r="M350">
        <v>29007.82</v>
      </c>
      <c r="N350" t="s">
        <v>23</v>
      </c>
      <c r="O350" t="s">
        <v>24</v>
      </c>
      <c r="P350" t="s">
        <v>42</v>
      </c>
      <c r="Q350">
        <v>30</v>
      </c>
    </row>
    <row r="351" spans="1:17" x14ac:dyDescent="0.3">
      <c r="A351" t="s">
        <v>728</v>
      </c>
      <c r="B351" t="s">
        <v>729</v>
      </c>
      <c r="C351">
        <v>23.94</v>
      </c>
      <c r="D351">
        <v>4.2</v>
      </c>
      <c r="E351" t="s">
        <v>19</v>
      </c>
      <c r="F351" t="s">
        <v>19</v>
      </c>
      <c r="G351" t="s">
        <v>19</v>
      </c>
      <c r="H351">
        <v>0</v>
      </c>
      <c r="I351" t="s">
        <v>20</v>
      </c>
      <c r="J351" t="s">
        <v>482</v>
      </c>
      <c r="K351" t="s">
        <v>39</v>
      </c>
      <c r="L351" s="1">
        <v>37865</v>
      </c>
      <c r="M351">
        <v>28998.68</v>
      </c>
      <c r="N351" t="s">
        <v>23</v>
      </c>
      <c r="O351" t="s">
        <v>24</v>
      </c>
      <c r="P351" t="s">
        <v>42</v>
      </c>
      <c r="Q351">
        <v>19</v>
      </c>
    </row>
    <row r="352" spans="1:17" x14ac:dyDescent="0.3">
      <c r="A352" t="s">
        <v>730</v>
      </c>
      <c r="B352" t="s">
        <v>731</v>
      </c>
      <c r="C352">
        <v>20.03</v>
      </c>
      <c r="D352">
        <v>6.14</v>
      </c>
      <c r="E352" t="s">
        <v>32</v>
      </c>
      <c r="F352" t="s">
        <v>19</v>
      </c>
      <c r="G352" t="s">
        <v>19</v>
      </c>
      <c r="H352">
        <v>0</v>
      </c>
      <c r="I352" t="s">
        <v>20</v>
      </c>
      <c r="J352" t="s">
        <v>482</v>
      </c>
      <c r="K352" t="s">
        <v>28</v>
      </c>
      <c r="L352" s="1">
        <v>21889</v>
      </c>
      <c r="M352">
        <v>28950.47</v>
      </c>
      <c r="N352" t="s">
        <v>23</v>
      </c>
      <c r="O352" t="s">
        <v>23</v>
      </c>
      <c r="P352" t="s">
        <v>33</v>
      </c>
      <c r="Q352">
        <v>63</v>
      </c>
    </row>
    <row r="353" spans="1:17" x14ac:dyDescent="0.3">
      <c r="A353" t="s">
        <v>732</v>
      </c>
      <c r="B353" t="s">
        <v>733</v>
      </c>
      <c r="C353">
        <v>41.42</v>
      </c>
      <c r="D353">
        <v>6.07</v>
      </c>
      <c r="E353" t="s">
        <v>19</v>
      </c>
      <c r="F353" t="s">
        <v>19</v>
      </c>
      <c r="G353" t="s">
        <v>19</v>
      </c>
      <c r="H353">
        <v>0</v>
      </c>
      <c r="I353" t="s">
        <v>19</v>
      </c>
      <c r="J353" t="s">
        <v>21</v>
      </c>
      <c r="K353" t="s">
        <v>28</v>
      </c>
      <c r="L353" s="1">
        <v>22852</v>
      </c>
      <c r="M353">
        <v>28923.14</v>
      </c>
      <c r="N353" t="s">
        <v>23</v>
      </c>
      <c r="O353" t="s">
        <v>23</v>
      </c>
      <c r="P353" t="s">
        <v>33</v>
      </c>
      <c r="Q353">
        <v>60</v>
      </c>
    </row>
    <row r="354" spans="1:17" x14ac:dyDescent="0.3">
      <c r="A354" t="s">
        <v>734</v>
      </c>
      <c r="B354" t="s">
        <v>193</v>
      </c>
      <c r="C354">
        <v>36.67</v>
      </c>
      <c r="D354">
        <v>10.210000000000001</v>
      </c>
      <c r="E354" t="s">
        <v>19</v>
      </c>
      <c r="F354" t="s">
        <v>19</v>
      </c>
      <c r="G354" t="s">
        <v>19</v>
      </c>
      <c r="H354">
        <v>0</v>
      </c>
      <c r="I354" t="s">
        <v>19</v>
      </c>
      <c r="J354" t="s">
        <v>21</v>
      </c>
      <c r="K354" t="s">
        <v>22</v>
      </c>
      <c r="L354" s="1">
        <v>22496</v>
      </c>
      <c r="M354">
        <v>28868.66</v>
      </c>
      <c r="N354" t="s">
        <v>23</v>
      </c>
      <c r="O354" t="s">
        <v>29</v>
      </c>
      <c r="P354" t="s">
        <v>33</v>
      </c>
      <c r="Q354">
        <v>61</v>
      </c>
    </row>
    <row r="355" spans="1:17" x14ac:dyDescent="0.3">
      <c r="A355" t="s">
        <v>735</v>
      </c>
      <c r="B355" t="s">
        <v>736</v>
      </c>
      <c r="C355">
        <v>27.645</v>
      </c>
      <c r="D355">
        <v>4.6900000000000004</v>
      </c>
      <c r="E355" t="s">
        <v>19</v>
      </c>
      <c r="F355" t="s">
        <v>19</v>
      </c>
      <c r="G355" t="s">
        <v>19</v>
      </c>
      <c r="H355">
        <v>0</v>
      </c>
      <c r="I355" t="s">
        <v>19</v>
      </c>
      <c r="J355" t="s">
        <v>333</v>
      </c>
      <c r="K355" t="s">
        <v>39</v>
      </c>
      <c r="L355" s="1">
        <v>33212</v>
      </c>
      <c r="M355">
        <v>28716.14</v>
      </c>
      <c r="N355" t="s">
        <v>23</v>
      </c>
      <c r="O355" t="s">
        <v>24</v>
      </c>
      <c r="P355" t="s">
        <v>42</v>
      </c>
      <c r="Q355">
        <v>32</v>
      </c>
    </row>
    <row r="356" spans="1:17" x14ac:dyDescent="0.3">
      <c r="A356" t="s">
        <v>737</v>
      </c>
      <c r="B356" t="s">
        <v>738</v>
      </c>
      <c r="C356">
        <v>22.72</v>
      </c>
      <c r="D356">
        <v>5.71</v>
      </c>
      <c r="E356" t="s">
        <v>19</v>
      </c>
      <c r="F356" t="s">
        <v>19</v>
      </c>
      <c r="G356" t="s">
        <v>19</v>
      </c>
      <c r="H356">
        <v>0</v>
      </c>
      <c r="I356" t="s">
        <v>20</v>
      </c>
      <c r="J356" t="s">
        <v>482</v>
      </c>
      <c r="K356" t="s">
        <v>28</v>
      </c>
      <c r="L356" s="1">
        <v>31317</v>
      </c>
      <c r="M356">
        <v>28542.86</v>
      </c>
      <c r="N356" t="s">
        <v>23</v>
      </c>
      <c r="O356" t="s">
        <v>24</v>
      </c>
      <c r="P356" t="s">
        <v>42</v>
      </c>
      <c r="Q356">
        <v>37</v>
      </c>
    </row>
    <row r="357" spans="1:17" x14ac:dyDescent="0.3">
      <c r="A357" t="s">
        <v>739</v>
      </c>
      <c r="B357" t="s">
        <v>740</v>
      </c>
      <c r="C357">
        <v>36.520000000000003</v>
      </c>
      <c r="D357">
        <v>9.07</v>
      </c>
      <c r="E357" t="s">
        <v>32</v>
      </c>
      <c r="F357" t="s">
        <v>19</v>
      </c>
      <c r="G357" t="s">
        <v>20</v>
      </c>
      <c r="H357">
        <v>1</v>
      </c>
      <c r="I357" t="s">
        <v>19</v>
      </c>
      <c r="J357" t="s">
        <v>21</v>
      </c>
      <c r="K357" t="s">
        <v>22</v>
      </c>
      <c r="L357" s="1">
        <v>30296</v>
      </c>
      <c r="M357">
        <v>28476.73</v>
      </c>
      <c r="N357" t="s">
        <v>23</v>
      </c>
      <c r="O357" t="s">
        <v>29</v>
      </c>
      <c r="P357" t="s">
        <v>33</v>
      </c>
      <c r="Q357">
        <v>40</v>
      </c>
    </row>
    <row r="358" spans="1:17" x14ac:dyDescent="0.3">
      <c r="A358" t="s">
        <v>741</v>
      </c>
      <c r="B358" t="s">
        <v>742</v>
      </c>
      <c r="C358">
        <v>33.96</v>
      </c>
      <c r="D358">
        <v>4.99</v>
      </c>
      <c r="E358" t="s">
        <v>19</v>
      </c>
      <c r="F358" t="s">
        <v>19</v>
      </c>
      <c r="G358" t="s">
        <v>19</v>
      </c>
      <c r="H358">
        <v>0</v>
      </c>
      <c r="I358" t="s">
        <v>20</v>
      </c>
      <c r="J358" t="s">
        <v>21</v>
      </c>
      <c r="K358" t="s">
        <v>39</v>
      </c>
      <c r="L358" s="1">
        <v>27288</v>
      </c>
      <c r="M358">
        <v>28468.92</v>
      </c>
      <c r="N358" t="s">
        <v>23</v>
      </c>
      <c r="O358" t="s">
        <v>23</v>
      </c>
      <c r="P358" t="s">
        <v>33</v>
      </c>
      <c r="Q358">
        <v>48</v>
      </c>
    </row>
    <row r="359" spans="1:17" x14ac:dyDescent="0.3">
      <c r="A359" t="s">
        <v>743</v>
      </c>
      <c r="B359" t="s">
        <v>744</v>
      </c>
      <c r="C359">
        <v>26.695</v>
      </c>
      <c r="D359">
        <v>8.31</v>
      </c>
      <c r="E359" t="s">
        <v>19</v>
      </c>
      <c r="F359" t="s">
        <v>19</v>
      </c>
      <c r="G359" t="s">
        <v>19</v>
      </c>
      <c r="H359">
        <v>0</v>
      </c>
      <c r="I359" t="s">
        <v>20</v>
      </c>
      <c r="J359" t="s">
        <v>333</v>
      </c>
      <c r="K359" t="s">
        <v>22</v>
      </c>
      <c r="L359" s="1">
        <v>28461</v>
      </c>
      <c r="M359">
        <v>28340.19</v>
      </c>
      <c r="N359" t="s">
        <v>23</v>
      </c>
      <c r="O359" t="s">
        <v>29</v>
      </c>
      <c r="P359" t="s">
        <v>33</v>
      </c>
      <c r="Q359">
        <v>45</v>
      </c>
    </row>
    <row r="360" spans="1:17" x14ac:dyDescent="0.3">
      <c r="A360" t="s">
        <v>745</v>
      </c>
      <c r="B360" t="s">
        <v>746</v>
      </c>
      <c r="C360">
        <v>18.45</v>
      </c>
      <c r="D360">
        <v>5.07</v>
      </c>
      <c r="E360" t="s">
        <v>32</v>
      </c>
      <c r="F360" t="s">
        <v>19</v>
      </c>
      <c r="G360" t="s">
        <v>19</v>
      </c>
      <c r="H360">
        <v>0</v>
      </c>
      <c r="I360" t="s">
        <v>20</v>
      </c>
      <c r="J360" t="s">
        <v>592</v>
      </c>
      <c r="K360" t="s">
        <v>39</v>
      </c>
      <c r="L360" s="1">
        <v>33231</v>
      </c>
      <c r="M360">
        <v>28302.33</v>
      </c>
      <c r="N360" t="s">
        <v>23</v>
      </c>
      <c r="O360" t="s">
        <v>29</v>
      </c>
      <c r="P360" t="s">
        <v>42</v>
      </c>
      <c r="Q360">
        <v>32</v>
      </c>
    </row>
    <row r="361" spans="1:17" x14ac:dyDescent="0.3">
      <c r="A361" t="s">
        <v>747</v>
      </c>
      <c r="B361" t="s">
        <v>414</v>
      </c>
      <c r="C361">
        <v>33.18</v>
      </c>
      <c r="D361">
        <v>4.79</v>
      </c>
      <c r="E361" t="s">
        <v>19</v>
      </c>
      <c r="F361" t="s">
        <v>19</v>
      </c>
      <c r="G361" t="s">
        <v>19</v>
      </c>
      <c r="H361">
        <v>0</v>
      </c>
      <c r="I361" t="s">
        <v>20</v>
      </c>
      <c r="J361" t="s">
        <v>21</v>
      </c>
      <c r="K361" t="s">
        <v>39</v>
      </c>
      <c r="L361" s="1">
        <v>23340</v>
      </c>
      <c r="M361">
        <v>28287.9</v>
      </c>
      <c r="N361" t="s">
        <v>23</v>
      </c>
      <c r="O361" t="s">
        <v>23</v>
      </c>
      <c r="P361" t="s">
        <v>25</v>
      </c>
      <c r="Q361">
        <v>59</v>
      </c>
    </row>
    <row r="362" spans="1:17" x14ac:dyDescent="0.3">
      <c r="A362" t="s">
        <v>748</v>
      </c>
      <c r="B362" t="s">
        <v>749</v>
      </c>
      <c r="C362">
        <v>36.1</v>
      </c>
      <c r="D362">
        <v>11.39</v>
      </c>
      <c r="E362" t="s">
        <v>32</v>
      </c>
      <c r="F362" t="s">
        <v>19</v>
      </c>
      <c r="G362" t="s">
        <v>19</v>
      </c>
      <c r="H362">
        <v>2</v>
      </c>
      <c r="I362" t="s">
        <v>19</v>
      </c>
      <c r="J362" t="s">
        <v>21</v>
      </c>
      <c r="K362" t="s">
        <v>22</v>
      </c>
      <c r="L362" s="1">
        <v>36409</v>
      </c>
      <c r="M362">
        <v>28245.34</v>
      </c>
      <c r="N362" t="s">
        <v>23</v>
      </c>
      <c r="O362" t="s">
        <v>24</v>
      </c>
      <c r="P362" t="s">
        <v>42</v>
      </c>
      <c r="Q362">
        <v>23</v>
      </c>
    </row>
    <row r="363" spans="1:17" x14ac:dyDescent="0.3">
      <c r="A363" t="s">
        <v>750</v>
      </c>
      <c r="B363" t="s">
        <v>751</v>
      </c>
      <c r="C363">
        <v>22.77</v>
      </c>
      <c r="D363">
        <v>6</v>
      </c>
      <c r="E363" t="s">
        <v>19</v>
      </c>
      <c r="F363" t="s">
        <v>19</v>
      </c>
      <c r="G363" t="s">
        <v>19</v>
      </c>
      <c r="H363">
        <v>0</v>
      </c>
      <c r="I363" t="s">
        <v>20</v>
      </c>
      <c r="J363" t="s">
        <v>482</v>
      </c>
      <c r="K363" t="s">
        <v>28</v>
      </c>
      <c r="L363" s="1">
        <v>22242</v>
      </c>
      <c r="M363">
        <v>28101.33</v>
      </c>
      <c r="N363" t="s">
        <v>23</v>
      </c>
      <c r="O363" t="s">
        <v>29</v>
      </c>
      <c r="P363" t="s">
        <v>361</v>
      </c>
      <c r="Q363">
        <v>62</v>
      </c>
    </row>
    <row r="364" spans="1:17" x14ac:dyDescent="0.3">
      <c r="A364" t="s">
        <v>752</v>
      </c>
      <c r="B364" t="s">
        <v>753</v>
      </c>
      <c r="C364">
        <v>21.24</v>
      </c>
      <c r="D364">
        <v>5.13</v>
      </c>
      <c r="E364" t="s">
        <v>19</v>
      </c>
      <c r="F364" t="s">
        <v>19</v>
      </c>
      <c r="G364" t="s">
        <v>19</v>
      </c>
      <c r="H364">
        <v>0</v>
      </c>
      <c r="I364" t="s">
        <v>20</v>
      </c>
      <c r="J364" t="s">
        <v>482</v>
      </c>
      <c r="K364" t="s">
        <v>39</v>
      </c>
      <c r="L364" s="1">
        <v>31380</v>
      </c>
      <c r="M364">
        <v>28006.94</v>
      </c>
      <c r="N364" t="s">
        <v>23</v>
      </c>
      <c r="O364" t="s">
        <v>29</v>
      </c>
      <c r="P364" t="s">
        <v>42</v>
      </c>
      <c r="Q364">
        <v>37</v>
      </c>
    </row>
    <row r="365" spans="1:17" x14ac:dyDescent="0.3">
      <c r="A365" t="s">
        <v>754</v>
      </c>
      <c r="B365" t="s">
        <v>755</v>
      </c>
      <c r="C365">
        <v>17.600000000000001</v>
      </c>
      <c r="D365">
        <v>5.26</v>
      </c>
      <c r="E365" t="s">
        <v>32</v>
      </c>
      <c r="F365" t="s">
        <v>19</v>
      </c>
      <c r="G365" t="s">
        <v>19</v>
      </c>
      <c r="H365">
        <v>0</v>
      </c>
      <c r="I365" t="s">
        <v>20</v>
      </c>
      <c r="J365" t="s">
        <v>592</v>
      </c>
      <c r="K365" t="s">
        <v>39</v>
      </c>
      <c r="L365" s="1">
        <v>36515</v>
      </c>
      <c r="M365">
        <v>27980.77</v>
      </c>
      <c r="N365" t="s">
        <v>23</v>
      </c>
      <c r="O365" t="s">
        <v>23</v>
      </c>
      <c r="P365" t="s">
        <v>42</v>
      </c>
      <c r="Q365">
        <v>23</v>
      </c>
    </row>
    <row r="366" spans="1:17" x14ac:dyDescent="0.3">
      <c r="A366" t="s">
        <v>756</v>
      </c>
      <c r="B366" t="s">
        <v>757</v>
      </c>
      <c r="C366">
        <v>26.29</v>
      </c>
      <c r="D366">
        <v>6.84</v>
      </c>
      <c r="E366" t="s">
        <v>19</v>
      </c>
      <c r="F366" t="s">
        <v>19</v>
      </c>
      <c r="G366" t="s">
        <v>19</v>
      </c>
      <c r="H366">
        <v>0</v>
      </c>
      <c r="I366" t="s">
        <v>20</v>
      </c>
      <c r="J366" t="s">
        <v>333</v>
      </c>
      <c r="K366" t="s">
        <v>22</v>
      </c>
      <c r="L366" s="1">
        <v>22490</v>
      </c>
      <c r="M366">
        <v>27941.29</v>
      </c>
      <c r="N366" t="s">
        <v>23</v>
      </c>
      <c r="O366" t="s">
        <v>24</v>
      </c>
      <c r="P366" t="s">
        <v>42</v>
      </c>
      <c r="Q366">
        <v>61</v>
      </c>
    </row>
    <row r="367" spans="1:17" x14ac:dyDescent="0.3">
      <c r="A367" t="s">
        <v>758</v>
      </c>
      <c r="B367" t="s">
        <v>759</v>
      </c>
      <c r="C367">
        <v>35.31</v>
      </c>
      <c r="D367">
        <v>9.0399999999999991</v>
      </c>
      <c r="E367" t="s">
        <v>19</v>
      </c>
      <c r="F367" t="s">
        <v>19</v>
      </c>
      <c r="G367" t="s">
        <v>19</v>
      </c>
      <c r="H367">
        <v>0</v>
      </c>
      <c r="I367" t="s">
        <v>19</v>
      </c>
      <c r="J367" t="s">
        <v>21</v>
      </c>
      <c r="K367" t="s">
        <v>22</v>
      </c>
      <c r="L367" s="1">
        <v>33393</v>
      </c>
      <c r="M367">
        <v>27931.11</v>
      </c>
      <c r="N367" t="s">
        <v>23</v>
      </c>
      <c r="O367" t="s">
        <v>24</v>
      </c>
      <c r="P367" t="s">
        <v>42</v>
      </c>
      <c r="Q367">
        <v>32</v>
      </c>
    </row>
    <row r="368" spans="1:17" x14ac:dyDescent="0.3">
      <c r="A368" t="s">
        <v>760</v>
      </c>
      <c r="B368" t="s">
        <v>761</v>
      </c>
      <c r="C368">
        <v>27.04</v>
      </c>
      <c r="D368">
        <v>4.0999999999999996</v>
      </c>
      <c r="E368" t="s">
        <v>19</v>
      </c>
      <c r="F368" t="s">
        <v>19</v>
      </c>
      <c r="G368" t="s">
        <v>19</v>
      </c>
      <c r="H368">
        <v>1</v>
      </c>
      <c r="I368" t="s">
        <v>20</v>
      </c>
      <c r="J368" t="s">
        <v>333</v>
      </c>
      <c r="K368" t="s">
        <v>39</v>
      </c>
      <c r="L368" s="1">
        <v>32833</v>
      </c>
      <c r="M368">
        <v>27925.86</v>
      </c>
      <c r="N368" t="s">
        <v>23</v>
      </c>
      <c r="O368" t="s">
        <v>29</v>
      </c>
      <c r="P368" t="s">
        <v>42</v>
      </c>
      <c r="Q368">
        <v>33</v>
      </c>
    </row>
    <row r="369" spans="1:17" x14ac:dyDescent="0.3">
      <c r="A369" t="s">
        <v>762</v>
      </c>
      <c r="B369" t="s">
        <v>763</v>
      </c>
      <c r="C369">
        <v>30.23</v>
      </c>
      <c r="D369">
        <v>4.2300000000000004</v>
      </c>
      <c r="E369" t="s">
        <v>32</v>
      </c>
      <c r="F369" t="s">
        <v>19</v>
      </c>
      <c r="G369" t="s">
        <v>20</v>
      </c>
      <c r="H369">
        <v>1</v>
      </c>
      <c r="I369" t="s">
        <v>20</v>
      </c>
      <c r="J369" t="s">
        <v>21</v>
      </c>
      <c r="K369" t="s">
        <v>39</v>
      </c>
      <c r="L369" s="1">
        <v>31385</v>
      </c>
      <c r="M369">
        <v>27849.94</v>
      </c>
      <c r="N369" t="s">
        <v>23</v>
      </c>
      <c r="O369" t="s">
        <v>23</v>
      </c>
      <c r="P369" t="s">
        <v>42</v>
      </c>
      <c r="Q369">
        <v>37</v>
      </c>
    </row>
    <row r="370" spans="1:17" x14ac:dyDescent="0.3">
      <c r="A370" t="s">
        <v>764</v>
      </c>
      <c r="B370" t="s">
        <v>765</v>
      </c>
      <c r="C370">
        <v>30.6</v>
      </c>
      <c r="D370">
        <v>6.48</v>
      </c>
      <c r="E370" t="s">
        <v>32</v>
      </c>
      <c r="F370" t="s">
        <v>19</v>
      </c>
      <c r="G370" t="s">
        <v>20</v>
      </c>
      <c r="H370">
        <v>1</v>
      </c>
      <c r="I370" t="s">
        <v>20</v>
      </c>
      <c r="J370" t="s">
        <v>21</v>
      </c>
      <c r="K370" t="s">
        <v>28</v>
      </c>
      <c r="L370" s="1">
        <v>22103</v>
      </c>
      <c r="M370">
        <v>27808.73</v>
      </c>
      <c r="N370" t="s">
        <v>23</v>
      </c>
      <c r="O370" t="s">
        <v>23</v>
      </c>
      <c r="P370" t="s">
        <v>25</v>
      </c>
      <c r="Q370">
        <v>62</v>
      </c>
    </row>
    <row r="371" spans="1:17" x14ac:dyDescent="0.3">
      <c r="A371" t="s">
        <v>766</v>
      </c>
      <c r="B371" t="s">
        <v>767</v>
      </c>
      <c r="C371">
        <v>26.8</v>
      </c>
      <c r="D371">
        <v>5.53</v>
      </c>
      <c r="E371" t="s">
        <v>19</v>
      </c>
      <c r="F371" t="s">
        <v>19</v>
      </c>
      <c r="G371" t="s">
        <v>19</v>
      </c>
      <c r="H371">
        <v>1</v>
      </c>
      <c r="I371" t="s">
        <v>20</v>
      </c>
      <c r="J371" t="s">
        <v>333</v>
      </c>
      <c r="K371" t="s">
        <v>39</v>
      </c>
      <c r="L371" s="1">
        <v>37596</v>
      </c>
      <c r="M371">
        <v>27724.29</v>
      </c>
      <c r="N371" t="s">
        <v>23</v>
      </c>
      <c r="O371" t="s">
        <v>24</v>
      </c>
      <c r="P371" t="s">
        <v>25</v>
      </c>
      <c r="Q371">
        <v>20</v>
      </c>
    </row>
    <row r="372" spans="1:17" x14ac:dyDescent="0.3">
      <c r="A372" t="s">
        <v>768</v>
      </c>
      <c r="B372" t="s">
        <v>769</v>
      </c>
      <c r="C372">
        <v>16.86</v>
      </c>
      <c r="D372">
        <v>4.07</v>
      </c>
      <c r="E372" t="s">
        <v>32</v>
      </c>
      <c r="F372" t="s">
        <v>19</v>
      </c>
      <c r="G372" t="s">
        <v>19</v>
      </c>
      <c r="H372">
        <v>0</v>
      </c>
      <c r="I372" t="s">
        <v>20</v>
      </c>
      <c r="J372" t="s">
        <v>592</v>
      </c>
      <c r="K372" t="s">
        <v>39</v>
      </c>
      <c r="L372" s="1">
        <v>33788</v>
      </c>
      <c r="M372">
        <v>27696.11</v>
      </c>
      <c r="N372" t="s">
        <v>23</v>
      </c>
      <c r="O372" t="s">
        <v>29</v>
      </c>
      <c r="P372" t="s">
        <v>42</v>
      </c>
      <c r="Q372">
        <v>30</v>
      </c>
    </row>
    <row r="373" spans="1:17" x14ac:dyDescent="0.3">
      <c r="A373" t="s">
        <v>770</v>
      </c>
      <c r="B373" t="s">
        <v>771</v>
      </c>
      <c r="C373">
        <v>16.3</v>
      </c>
      <c r="D373">
        <v>5.51</v>
      </c>
      <c r="E373" t="s">
        <v>19</v>
      </c>
      <c r="F373" t="s">
        <v>19</v>
      </c>
      <c r="G373" t="s">
        <v>19</v>
      </c>
      <c r="H373">
        <v>1</v>
      </c>
      <c r="I373" t="s">
        <v>20</v>
      </c>
      <c r="J373" t="s">
        <v>592</v>
      </c>
      <c r="K373" t="s">
        <v>39</v>
      </c>
      <c r="L373" s="1">
        <v>35710</v>
      </c>
      <c r="M373">
        <v>27625.17</v>
      </c>
      <c r="N373" t="s">
        <v>23</v>
      </c>
      <c r="O373" t="s">
        <v>23</v>
      </c>
      <c r="P373" t="s">
        <v>42</v>
      </c>
      <c r="Q373">
        <v>25</v>
      </c>
    </row>
    <row r="374" spans="1:17" x14ac:dyDescent="0.3">
      <c r="A374" t="s">
        <v>772</v>
      </c>
      <c r="B374" t="s">
        <v>773</v>
      </c>
      <c r="C374">
        <v>29.81</v>
      </c>
      <c r="D374">
        <v>11.66</v>
      </c>
      <c r="E374" t="s">
        <v>19</v>
      </c>
      <c r="F374" t="s">
        <v>19</v>
      </c>
      <c r="G374" t="s">
        <v>19</v>
      </c>
      <c r="H374">
        <v>0</v>
      </c>
      <c r="I374" t="s">
        <v>20</v>
      </c>
      <c r="J374" t="s">
        <v>333</v>
      </c>
      <c r="K374" t="s">
        <v>22</v>
      </c>
      <c r="L374" s="1">
        <v>35682</v>
      </c>
      <c r="M374">
        <v>27619.360000000001</v>
      </c>
      <c r="N374" t="s">
        <v>29</v>
      </c>
      <c r="O374" t="s">
        <v>24</v>
      </c>
      <c r="P374" t="s">
        <v>42</v>
      </c>
      <c r="Q374">
        <v>25</v>
      </c>
    </row>
    <row r="375" spans="1:17" x14ac:dyDescent="0.3">
      <c r="A375" t="s">
        <v>774</v>
      </c>
      <c r="B375" t="s">
        <v>775</v>
      </c>
      <c r="C375">
        <v>16.329999999999998</v>
      </c>
      <c r="D375">
        <v>7.26</v>
      </c>
      <c r="E375" t="s">
        <v>32</v>
      </c>
      <c r="F375" t="s">
        <v>19</v>
      </c>
      <c r="G375" t="s">
        <v>19</v>
      </c>
      <c r="H375">
        <v>0</v>
      </c>
      <c r="I375" t="s">
        <v>20</v>
      </c>
      <c r="J375" t="s">
        <v>592</v>
      </c>
      <c r="K375" t="s">
        <v>22</v>
      </c>
      <c r="L375" s="1">
        <v>33766</v>
      </c>
      <c r="M375">
        <v>27614.71</v>
      </c>
      <c r="N375" t="s">
        <v>29</v>
      </c>
      <c r="O375" t="s">
        <v>24</v>
      </c>
      <c r="P375" t="s">
        <v>42</v>
      </c>
      <c r="Q375">
        <v>30</v>
      </c>
    </row>
    <row r="376" spans="1:17" x14ac:dyDescent="0.3">
      <c r="A376" t="s">
        <v>776</v>
      </c>
      <c r="B376" t="s">
        <v>777</v>
      </c>
      <c r="C376">
        <v>16.37</v>
      </c>
      <c r="D376">
        <v>4.79</v>
      </c>
      <c r="E376" t="s">
        <v>32</v>
      </c>
      <c r="F376" t="s">
        <v>19</v>
      </c>
      <c r="G376" t="s">
        <v>19</v>
      </c>
      <c r="H376">
        <v>0</v>
      </c>
      <c r="I376" t="s">
        <v>20</v>
      </c>
      <c r="J376" t="s">
        <v>592</v>
      </c>
      <c r="K376" t="s">
        <v>39</v>
      </c>
      <c r="L376" s="1">
        <v>31357</v>
      </c>
      <c r="M376">
        <v>27598.93</v>
      </c>
      <c r="N376" t="s">
        <v>29</v>
      </c>
      <c r="O376" t="s">
        <v>23</v>
      </c>
      <c r="P376" t="s">
        <v>42</v>
      </c>
      <c r="Q376">
        <v>37</v>
      </c>
    </row>
    <row r="377" spans="1:17" x14ac:dyDescent="0.3">
      <c r="A377" t="s">
        <v>778</v>
      </c>
      <c r="B377" t="s">
        <v>779</v>
      </c>
      <c r="C377">
        <v>22.42</v>
      </c>
      <c r="D377">
        <v>4.68</v>
      </c>
      <c r="E377" t="s">
        <v>32</v>
      </c>
      <c r="F377" t="s">
        <v>19</v>
      </c>
      <c r="G377" t="s">
        <v>19</v>
      </c>
      <c r="H377">
        <v>1</v>
      </c>
      <c r="I377" t="s">
        <v>19</v>
      </c>
      <c r="J377" t="s">
        <v>482</v>
      </c>
      <c r="K377" t="s">
        <v>39</v>
      </c>
      <c r="L377" s="1">
        <v>30885</v>
      </c>
      <c r="M377">
        <v>27534.53</v>
      </c>
      <c r="N377" t="s">
        <v>29</v>
      </c>
      <c r="O377" t="s">
        <v>29</v>
      </c>
      <c r="P377" t="s">
        <v>42</v>
      </c>
      <c r="Q377">
        <v>38</v>
      </c>
    </row>
    <row r="378" spans="1:17" x14ac:dyDescent="0.3">
      <c r="A378" t="s">
        <v>780</v>
      </c>
      <c r="B378" t="s">
        <v>781</v>
      </c>
      <c r="C378">
        <v>31.35</v>
      </c>
      <c r="D378">
        <v>4.33</v>
      </c>
      <c r="E378" t="s">
        <v>32</v>
      </c>
      <c r="F378" t="s">
        <v>19</v>
      </c>
      <c r="G378" t="s">
        <v>20</v>
      </c>
      <c r="H378">
        <v>1</v>
      </c>
      <c r="I378" t="s">
        <v>19</v>
      </c>
      <c r="J378" t="s">
        <v>21</v>
      </c>
      <c r="K378" t="s">
        <v>39</v>
      </c>
      <c r="L378" s="1">
        <v>24034</v>
      </c>
      <c r="M378">
        <v>27533.91</v>
      </c>
      <c r="N378" t="s">
        <v>29</v>
      </c>
      <c r="O378" t="s">
        <v>24</v>
      </c>
      <c r="P378" t="s">
        <v>25</v>
      </c>
      <c r="Q378">
        <v>57</v>
      </c>
    </row>
    <row r="379" spans="1:17" x14ac:dyDescent="0.3">
      <c r="A379" t="s">
        <v>782</v>
      </c>
      <c r="B379" t="s">
        <v>783</v>
      </c>
      <c r="C379">
        <v>31.9</v>
      </c>
      <c r="D379">
        <v>11.89</v>
      </c>
      <c r="E379" t="s">
        <v>19</v>
      </c>
      <c r="F379" t="s">
        <v>19</v>
      </c>
      <c r="G379" t="s">
        <v>19</v>
      </c>
      <c r="H379">
        <v>0</v>
      </c>
      <c r="I379" t="s">
        <v>19</v>
      </c>
      <c r="J379" t="s">
        <v>21</v>
      </c>
      <c r="K379" t="s">
        <v>22</v>
      </c>
      <c r="L379" s="1">
        <v>29862</v>
      </c>
      <c r="M379">
        <v>27495.59</v>
      </c>
      <c r="N379" t="s">
        <v>29</v>
      </c>
      <c r="O379" t="s">
        <v>23</v>
      </c>
      <c r="P379" t="s">
        <v>42</v>
      </c>
      <c r="Q379">
        <v>41</v>
      </c>
    </row>
    <row r="380" spans="1:17" x14ac:dyDescent="0.3">
      <c r="A380" t="s">
        <v>784</v>
      </c>
      <c r="B380" t="s">
        <v>785</v>
      </c>
      <c r="C380">
        <v>30.6</v>
      </c>
      <c r="D380">
        <v>5.24</v>
      </c>
      <c r="E380" t="s">
        <v>19</v>
      </c>
      <c r="F380" t="s">
        <v>19</v>
      </c>
      <c r="G380" t="s">
        <v>19</v>
      </c>
      <c r="H380">
        <v>0</v>
      </c>
      <c r="I380" t="s">
        <v>20</v>
      </c>
      <c r="J380" t="s">
        <v>21</v>
      </c>
      <c r="K380" t="s">
        <v>39</v>
      </c>
      <c r="L380" s="1">
        <v>31386</v>
      </c>
      <c r="M380">
        <v>27432.73</v>
      </c>
      <c r="N380" t="s">
        <v>29</v>
      </c>
      <c r="O380" t="s">
        <v>23</v>
      </c>
      <c r="P380" t="s">
        <v>42</v>
      </c>
      <c r="Q380">
        <v>37</v>
      </c>
    </row>
    <row r="381" spans="1:17" x14ac:dyDescent="0.3">
      <c r="A381" t="s">
        <v>786</v>
      </c>
      <c r="B381" t="s">
        <v>787</v>
      </c>
      <c r="C381">
        <v>28.975000000000001</v>
      </c>
      <c r="D381">
        <v>7.63</v>
      </c>
      <c r="E381" t="s">
        <v>19</v>
      </c>
      <c r="F381" t="s">
        <v>19</v>
      </c>
      <c r="G381" t="s">
        <v>19</v>
      </c>
      <c r="H381">
        <v>0</v>
      </c>
      <c r="I381" t="s">
        <v>20</v>
      </c>
      <c r="J381" t="s">
        <v>333</v>
      </c>
      <c r="K381" t="s">
        <v>22</v>
      </c>
      <c r="L381" s="1">
        <v>32401</v>
      </c>
      <c r="M381">
        <v>27375.9</v>
      </c>
      <c r="N381" t="s">
        <v>29</v>
      </c>
      <c r="O381" t="s">
        <v>24</v>
      </c>
      <c r="P381" t="s">
        <v>133</v>
      </c>
      <c r="Q381">
        <v>34</v>
      </c>
    </row>
    <row r="382" spans="1:17" x14ac:dyDescent="0.3">
      <c r="A382" t="s">
        <v>788</v>
      </c>
      <c r="B382" t="s">
        <v>789</v>
      </c>
      <c r="C382">
        <v>24.86</v>
      </c>
      <c r="D382">
        <v>8.92</v>
      </c>
      <c r="E382" t="s">
        <v>32</v>
      </c>
      <c r="F382" t="s">
        <v>19</v>
      </c>
      <c r="G382" t="s">
        <v>19</v>
      </c>
      <c r="H382">
        <v>2</v>
      </c>
      <c r="I382" t="s">
        <v>19</v>
      </c>
      <c r="J382" t="s">
        <v>482</v>
      </c>
      <c r="K382" t="s">
        <v>22</v>
      </c>
      <c r="L382" s="1">
        <v>25492</v>
      </c>
      <c r="M382">
        <v>27346.04</v>
      </c>
      <c r="N382" t="s">
        <v>29</v>
      </c>
      <c r="O382" t="s">
        <v>29</v>
      </c>
      <c r="P382" t="s">
        <v>25</v>
      </c>
      <c r="Q382">
        <v>53</v>
      </c>
    </row>
    <row r="383" spans="1:17" x14ac:dyDescent="0.3">
      <c r="A383" t="s">
        <v>790</v>
      </c>
      <c r="B383" t="s">
        <v>791</v>
      </c>
      <c r="C383">
        <v>19.54</v>
      </c>
      <c r="D383">
        <v>5.37</v>
      </c>
      <c r="E383" t="s">
        <v>19</v>
      </c>
      <c r="F383" t="s">
        <v>19</v>
      </c>
      <c r="G383" t="s">
        <v>19</v>
      </c>
      <c r="H383">
        <v>0</v>
      </c>
      <c r="I383" t="s">
        <v>20</v>
      </c>
      <c r="J383" t="s">
        <v>482</v>
      </c>
      <c r="K383" t="s">
        <v>39</v>
      </c>
      <c r="L383" s="1">
        <v>24995</v>
      </c>
      <c r="M383">
        <v>27322.73</v>
      </c>
      <c r="N383" t="s">
        <v>29</v>
      </c>
      <c r="O383" t="s">
        <v>29</v>
      </c>
      <c r="P383" t="s">
        <v>25</v>
      </c>
      <c r="Q383">
        <v>55</v>
      </c>
    </row>
    <row r="384" spans="1:17" x14ac:dyDescent="0.3">
      <c r="A384" t="s">
        <v>792</v>
      </c>
      <c r="B384" t="s">
        <v>793</v>
      </c>
      <c r="C384">
        <v>26.74</v>
      </c>
      <c r="D384">
        <v>4.3099999999999996</v>
      </c>
      <c r="E384" t="s">
        <v>19</v>
      </c>
      <c r="F384" t="s">
        <v>19</v>
      </c>
      <c r="G384" t="s">
        <v>19</v>
      </c>
      <c r="H384">
        <v>0</v>
      </c>
      <c r="I384" t="s">
        <v>20</v>
      </c>
      <c r="J384" t="s">
        <v>333</v>
      </c>
      <c r="K384" t="s">
        <v>39</v>
      </c>
      <c r="L384" s="1">
        <v>36496</v>
      </c>
      <c r="M384">
        <v>27236.959999999999</v>
      </c>
      <c r="N384" t="s">
        <v>29</v>
      </c>
      <c r="O384" t="s">
        <v>23</v>
      </c>
      <c r="P384" t="s">
        <v>42</v>
      </c>
      <c r="Q384">
        <v>23</v>
      </c>
    </row>
    <row r="385" spans="1:17" x14ac:dyDescent="0.3">
      <c r="A385" t="s">
        <v>794</v>
      </c>
      <c r="B385" t="s">
        <v>795</v>
      </c>
      <c r="C385">
        <v>22.99</v>
      </c>
      <c r="D385">
        <v>10.46</v>
      </c>
      <c r="E385" t="s">
        <v>19</v>
      </c>
      <c r="F385" t="s">
        <v>19</v>
      </c>
      <c r="G385" t="s">
        <v>19</v>
      </c>
      <c r="H385">
        <v>3</v>
      </c>
      <c r="I385" t="s">
        <v>20</v>
      </c>
      <c r="J385" t="s">
        <v>482</v>
      </c>
      <c r="K385" t="s">
        <v>22</v>
      </c>
      <c r="L385" s="1">
        <v>24097</v>
      </c>
      <c r="M385">
        <v>27218.44</v>
      </c>
      <c r="N385" t="s">
        <v>29</v>
      </c>
      <c r="O385" t="s">
        <v>23</v>
      </c>
      <c r="P385" t="s">
        <v>206</v>
      </c>
      <c r="Q385">
        <v>57</v>
      </c>
    </row>
    <row r="386" spans="1:17" x14ac:dyDescent="0.3">
      <c r="A386" t="s">
        <v>796</v>
      </c>
      <c r="B386" t="s">
        <v>797</v>
      </c>
      <c r="C386">
        <v>31.46</v>
      </c>
      <c r="D386">
        <v>7.39</v>
      </c>
      <c r="E386" t="s">
        <v>19</v>
      </c>
      <c r="F386" t="s">
        <v>19</v>
      </c>
      <c r="G386" t="s">
        <v>19</v>
      </c>
      <c r="H386">
        <v>0</v>
      </c>
      <c r="I386" t="s">
        <v>19</v>
      </c>
      <c r="J386" t="s">
        <v>21</v>
      </c>
      <c r="K386" t="s">
        <v>22</v>
      </c>
      <c r="L386" s="1">
        <v>25843</v>
      </c>
      <c r="M386">
        <v>27117.99</v>
      </c>
      <c r="N386" t="s">
        <v>29</v>
      </c>
      <c r="O386" t="s">
        <v>29</v>
      </c>
      <c r="P386" t="s">
        <v>25</v>
      </c>
      <c r="Q386">
        <v>52</v>
      </c>
    </row>
    <row r="387" spans="1:17" x14ac:dyDescent="0.3">
      <c r="A387" t="s">
        <v>798</v>
      </c>
      <c r="B387" t="s">
        <v>799</v>
      </c>
      <c r="C387">
        <v>30.86</v>
      </c>
      <c r="D387">
        <v>6.18</v>
      </c>
      <c r="E387" t="s">
        <v>19</v>
      </c>
      <c r="F387" t="s">
        <v>32</v>
      </c>
      <c r="G387" t="s">
        <v>19</v>
      </c>
      <c r="H387">
        <v>2</v>
      </c>
      <c r="I387" t="s">
        <v>20</v>
      </c>
      <c r="J387" t="s">
        <v>21</v>
      </c>
      <c r="K387" t="s">
        <v>28</v>
      </c>
      <c r="L387" s="1">
        <v>33220</v>
      </c>
      <c r="M387">
        <v>27092.38</v>
      </c>
      <c r="N387" t="s">
        <v>29</v>
      </c>
      <c r="O387" t="s">
        <v>24</v>
      </c>
      <c r="P387" t="s">
        <v>42</v>
      </c>
      <c r="Q387">
        <v>32</v>
      </c>
    </row>
    <row r="388" spans="1:17" x14ac:dyDescent="0.3">
      <c r="A388" t="s">
        <v>800</v>
      </c>
      <c r="B388" t="s">
        <v>801</v>
      </c>
      <c r="C388">
        <v>31.96</v>
      </c>
      <c r="D388">
        <v>8.86</v>
      </c>
      <c r="E388" t="s">
        <v>19</v>
      </c>
      <c r="F388" t="s">
        <v>19</v>
      </c>
      <c r="G388" t="s">
        <v>19</v>
      </c>
      <c r="H388">
        <v>0</v>
      </c>
      <c r="I388" t="s">
        <v>20</v>
      </c>
      <c r="J388" t="s">
        <v>21</v>
      </c>
      <c r="K388" t="s">
        <v>22</v>
      </c>
      <c r="L388" s="1">
        <v>34517</v>
      </c>
      <c r="M388">
        <v>27080.639999999999</v>
      </c>
      <c r="N388" t="s">
        <v>29</v>
      </c>
      <c r="O388" t="s">
        <v>29</v>
      </c>
      <c r="P388" t="s">
        <v>42</v>
      </c>
      <c r="Q388">
        <v>28</v>
      </c>
    </row>
    <row r="389" spans="1:17" x14ac:dyDescent="0.3">
      <c r="A389" t="s">
        <v>802</v>
      </c>
      <c r="B389" t="s">
        <v>803</v>
      </c>
      <c r="C389">
        <v>23.76</v>
      </c>
      <c r="D389">
        <v>10.96</v>
      </c>
      <c r="E389" t="s">
        <v>19</v>
      </c>
      <c r="F389" t="s">
        <v>19</v>
      </c>
      <c r="G389" t="s">
        <v>19</v>
      </c>
      <c r="H389">
        <v>3</v>
      </c>
      <c r="I389" t="s">
        <v>20</v>
      </c>
      <c r="J389" t="s">
        <v>482</v>
      </c>
      <c r="K389" t="s">
        <v>22</v>
      </c>
      <c r="L389" s="1">
        <v>21366</v>
      </c>
      <c r="M389">
        <v>27037.91</v>
      </c>
      <c r="N389" t="s">
        <v>29</v>
      </c>
      <c r="O389" t="s">
        <v>29</v>
      </c>
      <c r="P389" t="s">
        <v>25</v>
      </c>
      <c r="Q389">
        <v>64</v>
      </c>
    </row>
    <row r="390" spans="1:17" x14ac:dyDescent="0.3">
      <c r="A390" t="s">
        <v>804</v>
      </c>
      <c r="B390" t="s">
        <v>805</v>
      </c>
      <c r="C390">
        <v>19.38</v>
      </c>
      <c r="D390">
        <v>6.28</v>
      </c>
      <c r="E390" t="s">
        <v>19</v>
      </c>
      <c r="F390" t="s">
        <v>19</v>
      </c>
      <c r="G390" t="s">
        <v>19</v>
      </c>
      <c r="H390">
        <v>0</v>
      </c>
      <c r="I390" t="s">
        <v>20</v>
      </c>
      <c r="J390" t="s">
        <v>482</v>
      </c>
      <c r="K390" t="s">
        <v>28</v>
      </c>
      <c r="L390" s="1">
        <v>22106</v>
      </c>
      <c r="M390">
        <v>27000.98</v>
      </c>
      <c r="N390" t="s">
        <v>29</v>
      </c>
      <c r="O390" t="s">
        <v>29</v>
      </c>
      <c r="P390" t="s">
        <v>25</v>
      </c>
      <c r="Q390">
        <v>62</v>
      </c>
    </row>
    <row r="391" spans="1:17" x14ac:dyDescent="0.3">
      <c r="A391" t="s">
        <v>806</v>
      </c>
      <c r="B391" t="s">
        <v>807</v>
      </c>
      <c r="C391">
        <v>16.21</v>
      </c>
      <c r="D391">
        <v>6.29</v>
      </c>
      <c r="E391" t="s">
        <v>32</v>
      </c>
      <c r="F391" t="s">
        <v>19</v>
      </c>
      <c r="G391" t="s">
        <v>19</v>
      </c>
      <c r="H391">
        <v>1</v>
      </c>
      <c r="I391" t="s">
        <v>20</v>
      </c>
      <c r="J391" t="s">
        <v>592</v>
      </c>
      <c r="K391" t="s">
        <v>28</v>
      </c>
      <c r="L391" s="1">
        <v>36839</v>
      </c>
      <c r="M391">
        <v>26936.98</v>
      </c>
      <c r="N391" t="s">
        <v>29</v>
      </c>
      <c r="O391" t="s">
        <v>24</v>
      </c>
      <c r="P391" t="s">
        <v>42</v>
      </c>
      <c r="Q391">
        <v>22</v>
      </c>
    </row>
    <row r="392" spans="1:17" x14ac:dyDescent="0.3">
      <c r="A392" t="s">
        <v>808</v>
      </c>
      <c r="B392" t="s">
        <v>809</v>
      </c>
      <c r="C392">
        <v>32.54</v>
      </c>
      <c r="D392">
        <v>4.0199999999999996</v>
      </c>
      <c r="E392" t="s">
        <v>19</v>
      </c>
      <c r="F392" t="s">
        <v>32</v>
      </c>
      <c r="G392" t="s">
        <v>19</v>
      </c>
      <c r="H392">
        <v>1</v>
      </c>
      <c r="I392" t="s">
        <v>20</v>
      </c>
      <c r="J392" t="s">
        <v>21</v>
      </c>
      <c r="K392" t="s">
        <v>39</v>
      </c>
      <c r="L392" s="1">
        <v>37424</v>
      </c>
      <c r="M392">
        <v>26927.69</v>
      </c>
      <c r="N392" t="s">
        <v>29</v>
      </c>
      <c r="O392" t="s">
        <v>29</v>
      </c>
      <c r="P392" t="s">
        <v>42</v>
      </c>
      <c r="Q392">
        <v>20</v>
      </c>
    </row>
    <row r="393" spans="1:17" x14ac:dyDescent="0.3">
      <c r="A393" t="s">
        <v>810</v>
      </c>
      <c r="B393" t="s">
        <v>811</v>
      </c>
      <c r="C393">
        <v>36.765000000000001</v>
      </c>
      <c r="D393">
        <v>11.95</v>
      </c>
      <c r="E393" t="s">
        <v>32</v>
      </c>
      <c r="F393" t="s">
        <v>19</v>
      </c>
      <c r="G393" t="s">
        <v>19</v>
      </c>
      <c r="H393">
        <v>2</v>
      </c>
      <c r="I393" t="s">
        <v>19</v>
      </c>
      <c r="J393" t="s">
        <v>21</v>
      </c>
      <c r="K393" t="s">
        <v>22</v>
      </c>
      <c r="L393" s="1">
        <v>21544</v>
      </c>
      <c r="M393">
        <v>26926.51</v>
      </c>
      <c r="N393" t="s">
        <v>29</v>
      </c>
      <c r="O393" t="s">
        <v>23</v>
      </c>
      <c r="P393" t="s">
        <v>25</v>
      </c>
      <c r="Q393">
        <v>64</v>
      </c>
    </row>
    <row r="394" spans="1:17" x14ac:dyDescent="0.3">
      <c r="A394" t="s">
        <v>812</v>
      </c>
      <c r="B394" t="s">
        <v>813</v>
      </c>
      <c r="C394">
        <v>35.909999999999997</v>
      </c>
      <c r="D394">
        <v>8.7100000000000009</v>
      </c>
      <c r="E394" t="s">
        <v>19</v>
      </c>
      <c r="F394" t="s">
        <v>19</v>
      </c>
      <c r="G394" t="s">
        <v>19</v>
      </c>
      <c r="H394">
        <v>0</v>
      </c>
      <c r="I394" t="s">
        <v>19</v>
      </c>
      <c r="J394" t="s">
        <v>21</v>
      </c>
      <c r="K394" t="s">
        <v>22</v>
      </c>
      <c r="L394" s="1">
        <v>33472</v>
      </c>
      <c r="M394">
        <v>26912.560000000001</v>
      </c>
      <c r="N394" t="s">
        <v>29</v>
      </c>
      <c r="O394" t="s">
        <v>29</v>
      </c>
      <c r="P394" t="s">
        <v>42</v>
      </c>
      <c r="Q394">
        <v>31</v>
      </c>
    </row>
    <row r="395" spans="1:17" x14ac:dyDescent="0.3">
      <c r="A395" t="s">
        <v>814</v>
      </c>
      <c r="B395" t="s">
        <v>448</v>
      </c>
      <c r="C395">
        <v>32.06</v>
      </c>
      <c r="D395">
        <v>4.67</v>
      </c>
      <c r="E395" t="s">
        <v>19</v>
      </c>
      <c r="F395" t="s">
        <v>32</v>
      </c>
      <c r="G395" t="s">
        <v>19</v>
      </c>
      <c r="H395">
        <v>1</v>
      </c>
      <c r="I395" t="s">
        <v>20</v>
      </c>
      <c r="J395" t="s">
        <v>21</v>
      </c>
      <c r="K395" t="s">
        <v>39</v>
      </c>
      <c r="L395" s="1">
        <v>32346</v>
      </c>
      <c r="M395">
        <v>26607.89</v>
      </c>
      <c r="N395" t="s">
        <v>29</v>
      </c>
      <c r="O395" t="s">
        <v>23</v>
      </c>
      <c r="P395" t="s">
        <v>42</v>
      </c>
      <c r="Q395">
        <v>34</v>
      </c>
    </row>
    <row r="396" spans="1:17" x14ac:dyDescent="0.3">
      <c r="A396" t="s">
        <v>815</v>
      </c>
      <c r="B396" t="s">
        <v>816</v>
      </c>
      <c r="C396">
        <v>24.1</v>
      </c>
      <c r="D396">
        <v>11.14</v>
      </c>
      <c r="E396" t="s">
        <v>32</v>
      </c>
      <c r="F396" t="s">
        <v>19</v>
      </c>
      <c r="G396" t="s">
        <v>19</v>
      </c>
      <c r="H396">
        <v>1</v>
      </c>
      <c r="I396" t="s">
        <v>19</v>
      </c>
      <c r="J396" t="s">
        <v>482</v>
      </c>
      <c r="K396" t="s">
        <v>22</v>
      </c>
      <c r="L396" s="1">
        <v>38235</v>
      </c>
      <c r="M396">
        <v>26479.4</v>
      </c>
      <c r="N396" t="s">
        <v>29</v>
      </c>
      <c r="O396" t="s">
        <v>29</v>
      </c>
      <c r="P396" t="s">
        <v>42</v>
      </c>
      <c r="Q396">
        <v>18</v>
      </c>
    </row>
    <row r="397" spans="1:17" x14ac:dyDescent="0.3">
      <c r="A397" t="s">
        <v>817</v>
      </c>
      <c r="B397" t="s">
        <v>818</v>
      </c>
      <c r="C397">
        <v>27.1</v>
      </c>
      <c r="D397">
        <v>9.0500000000000007</v>
      </c>
      <c r="E397" t="s">
        <v>19</v>
      </c>
      <c r="F397" t="s">
        <v>19</v>
      </c>
      <c r="G397" t="s">
        <v>19</v>
      </c>
      <c r="H397">
        <v>2</v>
      </c>
      <c r="I397" t="s">
        <v>19</v>
      </c>
      <c r="J397" t="s">
        <v>333</v>
      </c>
      <c r="K397" t="s">
        <v>22</v>
      </c>
      <c r="L397" s="1">
        <v>25807</v>
      </c>
      <c r="M397">
        <v>26467.1</v>
      </c>
      <c r="N397" t="s">
        <v>29</v>
      </c>
      <c r="O397" t="s">
        <v>24</v>
      </c>
      <c r="P397" t="s">
        <v>33</v>
      </c>
      <c r="Q397">
        <v>52</v>
      </c>
    </row>
    <row r="398" spans="1:17" x14ac:dyDescent="0.3">
      <c r="A398" t="s">
        <v>819</v>
      </c>
      <c r="B398" t="s">
        <v>820</v>
      </c>
      <c r="C398">
        <v>24.42</v>
      </c>
      <c r="D398">
        <v>11.31</v>
      </c>
      <c r="E398" t="s">
        <v>19</v>
      </c>
      <c r="F398" t="s">
        <v>19</v>
      </c>
      <c r="G398" t="s">
        <v>19</v>
      </c>
      <c r="H398">
        <v>0</v>
      </c>
      <c r="I398" t="s">
        <v>20</v>
      </c>
      <c r="J398" t="s">
        <v>482</v>
      </c>
      <c r="K398" t="s">
        <v>22</v>
      </c>
      <c r="L398" s="1">
        <v>27293</v>
      </c>
      <c r="M398">
        <v>26392.26</v>
      </c>
      <c r="N398" t="s">
        <v>29</v>
      </c>
      <c r="O398" t="s">
        <v>29</v>
      </c>
      <c r="P398" t="s">
        <v>36</v>
      </c>
      <c r="Q398">
        <v>48</v>
      </c>
    </row>
    <row r="399" spans="1:17" x14ac:dyDescent="0.3">
      <c r="A399" t="s">
        <v>821</v>
      </c>
      <c r="B399" t="s">
        <v>822</v>
      </c>
      <c r="C399">
        <v>26.695</v>
      </c>
      <c r="D399">
        <v>4.68</v>
      </c>
      <c r="E399" t="s">
        <v>32</v>
      </c>
      <c r="F399" t="s">
        <v>19</v>
      </c>
      <c r="G399" t="s">
        <v>19</v>
      </c>
      <c r="H399">
        <v>2</v>
      </c>
      <c r="I399" t="s">
        <v>20</v>
      </c>
      <c r="J399" t="s">
        <v>333</v>
      </c>
      <c r="K399" t="s">
        <v>39</v>
      </c>
      <c r="L399" s="1">
        <v>38326</v>
      </c>
      <c r="M399">
        <v>26316.59</v>
      </c>
      <c r="N399" t="s">
        <v>29</v>
      </c>
      <c r="O399" t="s">
        <v>24</v>
      </c>
      <c r="P399" t="s">
        <v>42</v>
      </c>
      <c r="Q399">
        <v>18</v>
      </c>
    </row>
    <row r="400" spans="1:17" x14ac:dyDescent="0.3">
      <c r="A400" t="s">
        <v>823</v>
      </c>
      <c r="B400" t="s">
        <v>824</v>
      </c>
      <c r="C400">
        <v>27.79</v>
      </c>
      <c r="D400">
        <v>6.05</v>
      </c>
      <c r="E400" t="s">
        <v>32</v>
      </c>
      <c r="F400" t="s">
        <v>32</v>
      </c>
      <c r="G400" t="s">
        <v>19</v>
      </c>
      <c r="H400">
        <v>1</v>
      </c>
      <c r="I400" t="s">
        <v>20</v>
      </c>
      <c r="J400" t="s">
        <v>333</v>
      </c>
      <c r="K400" t="s">
        <v>28</v>
      </c>
      <c r="L400" s="1">
        <v>27549</v>
      </c>
      <c r="M400">
        <v>26236.58</v>
      </c>
      <c r="N400" t="s">
        <v>29</v>
      </c>
      <c r="O400" t="s">
        <v>23</v>
      </c>
      <c r="P400" t="s">
        <v>42</v>
      </c>
      <c r="Q400">
        <v>48</v>
      </c>
    </row>
    <row r="401" spans="1:17" x14ac:dyDescent="0.3">
      <c r="A401" t="s">
        <v>825</v>
      </c>
      <c r="B401" t="s">
        <v>826</v>
      </c>
      <c r="C401">
        <v>32.68</v>
      </c>
      <c r="D401">
        <v>4.68</v>
      </c>
      <c r="E401" t="s">
        <v>32</v>
      </c>
      <c r="F401" t="s">
        <v>19</v>
      </c>
      <c r="G401" t="s">
        <v>19</v>
      </c>
      <c r="H401">
        <v>0</v>
      </c>
      <c r="I401" t="s">
        <v>19</v>
      </c>
      <c r="J401" t="s">
        <v>21</v>
      </c>
      <c r="K401" t="s">
        <v>39</v>
      </c>
      <c r="L401" s="1">
        <v>26852</v>
      </c>
      <c r="M401">
        <v>26140.36</v>
      </c>
      <c r="N401" t="s">
        <v>29</v>
      </c>
      <c r="O401" t="s">
        <v>24</v>
      </c>
      <c r="P401" t="s">
        <v>42</v>
      </c>
      <c r="Q401">
        <v>49</v>
      </c>
    </row>
    <row r="402" spans="1:17" x14ac:dyDescent="0.3">
      <c r="A402" t="s">
        <v>827</v>
      </c>
      <c r="B402" t="s">
        <v>828</v>
      </c>
      <c r="C402">
        <v>26.4</v>
      </c>
      <c r="D402">
        <v>9.5</v>
      </c>
      <c r="E402" t="s">
        <v>32</v>
      </c>
      <c r="F402" t="s">
        <v>19</v>
      </c>
      <c r="G402" t="s">
        <v>19</v>
      </c>
      <c r="H402">
        <v>2</v>
      </c>
      <c r="I402" t="s">
        <v>19</v>
      </c>
      <c r="J402" t="s">
        <v>333</v>
      </c>
      <c r="K402" t="s">
        <v>22</v>
      </c>
      <c r="L402" s="1">
        <v>37540</v>
      </c>
      <c r="M402">
        <v>26125.67</v>
      </c>
      <c r="N402" t="s">
        <v>29</v>
      </c>
      <c r="O402" t="s">
        <v>23</v>
      </c>
      <c r="P402" t="s">
        <v>25</v>
      </c>
      <c r="Q402">
        <v>20</v>
      </c>
    </row>
    <row r="403" spans="1:17" x14ac:dyDescent="0.3">
      <c r="A403" t="s">
        <v>829</v>
      </c>
      <c r="B403" t="s">
        <v>830</v>
      </c>
      <c r="C403">
        <v>23.655000000000001</v>
      </c>
      <c r="D403">
        <v>10.84</v>
      </c>
      <c r="E403" t="s">
        <v>32</v>
      </c>
      <c r="F403" t="s">
        <v>19</v>
      </c>
      <c r="G403" t="s">
        <v>20</v>
      </c>
      <c r="H403">
        <v>1</v>
      </c>
      <c r="I403" t="s">
        <v>20</v>
      </c>
      <c r="J403" t="s">
        <v>482</v>
      </c>
      <c r="K403" t="s">
        <v>22</v>
      </c>
      <c r="L403" s="1">
        <v>24297</v>
      </c>
      <c r="M403">
        <v>26109.33</v>
      </c>
      <c r="N403" t="s">
        <v>29</v>
      </c>
      <c r="O403" t="s">
        <v>24</v>
      </c>
      <c r="P403" t="s">
        <v>33</v>
      </c>
      <c r="Q403">
        <v>56</v>
      </c>
    </row>
    <row r="404" spans="1:17" x14ac:dyDescent="0.3">
      <c r="A404" t="s">
        <v>831</v>
      </c>
      <c r="B404" t="s">
        <v>832</v>
      </c>
      <c r="C404">
        <v>27.36</v>
      </c>
      <c r="D404">
        <v>5.88</v>
      </c>
      <c r="E404" t="s">
        <v>19</v>
      </c>
      <c r="F404" t="s">
        <v>19</v>
      </c>
      <c r="G404" t="s">
        <v>19</v>
      </c>
      <c r="H404">
        <v>2</v>
      </c>
      <c r="I404" t="s">
        <v>19</v>
      </c>
      <c r="J404" t="s">
        <v>333</v>
      </c>
      <c r="K404" t="s">
        <v>28</v>
      </c>
      <c r="L404" s="1">
        <v>36886</v>
      </c>
      <c r="M404">
        <v>26026.97</v>
      </c>
      <c r="N404" t="s">
        <v>29</v>
      </c>
      <c r="O404" t="s">
        <v>24</v>
      </c>
      <c r="P404" t="s">
        <v>42</v>
      </c>
      <c r="Q404">
        <v>22</v>
      </c>
    </row>
    <row r="405" spans="1:17" x14ac:dyDescent="0.3">
      <c r="A405" t="s">
        <v>833</v>
      </c>
      <c r="B405" t="s">
        <v>834</v>
      </c>
      <c r="C405">
        <v>27.82</v>
      </c>
      <c r="D405">
        <v>5.24</v>
      </c>
      <c r="E405" t="s">
        <v>32</v>
      </c>
      <c r="F405" t="s">
        <v>19</v>
      </c>
      <c r="G405" t="s">
        <v>19</v>
      </c>
      <c r="H405">
        <v>0</v>
      </c>
      <c r="I405" t="s">
        <v>20</v>
      </c>
      <c r="J405" t="s">
        <v>333</v>
      </c>
      <c r="K405" t="s">
        <v>39</v>
      </c>
      <c r="L405" s="1">
        <v>37047</v>
      </c>
      <c r="M405">
        <v>26018.95</v>
      </c>
      <c r="N405" t="s">
        <v>29</v>
      </c>
      <c r="O405" t="s">
        <v>29</v>
      </c>
      <c r="P405" t="s">
        <v>33</v>
      </c>
      <c r="Q405">
        <v>22</v>
      </c>
    </row>
    <row r="406" spans="1:17" x14ac:dyDescent="0.3">
      <c r="A406" t="s">
        <v>835</v>
      </c>
      <c r="B406" t="s">
        <v>836</v>
      </c>
      <c r="C406">
        <v>25.46</v>
      </c>
      <c r="D406">
        <v>11.75</v>
      </c>
      <c r="E406" t="s">
        <v>19</v>
      </c>
      <c r="F406" t="s">
        <v>19</v>
      </c>
      <c r="G406" t="s">
        <v>19</v>
      </c>
      <c r="H406">
        <v>0</v>
      </c>
      <c r="I406" t="s">
        <v>19</v>
      </c>
      <c r="J406" t="s">
        <v>333</v>
      </c>
      <c r="K406" t="s">
        <v>22</v>
      </c>
      <c r="L406" s="1">
        <v>25905</v>
      </c>
      <c r="M406">
        <v>25992.82</v>
      </c>
      <c r="N406" t="s">
        <v>29</v>
      </c>
      <c r="O406" t="s">
        <v>29</v>
      </c>
      <c r="P406" t="s">
        <v>25</v>
      </c>
      <c r="Q406">
        <v>52</v>
      </c>
    </row>
    <row r="407" spans="1:17" x14ac:dyDescent="0.3">
      <c r="A407" t="s">
        <v>837</v>
      </c>
      <c r="B407" t="s">
        <v>838</v>
      </c>
      <c r="C407">
        <v>25.1</v>
      </c>
      <c r="D407">
        <v>6.97</v>
      </c>
      <c r="E407" t="s">
        <v>19</v>
      </c>
      <c r="F407" t="s">
        <v>19</v>
      </c>
      <c r="G407" t="s">
        <v>19</v>
      </c>
      <c r="H407">
        <v>0</v>
      </c>
      <c r="I407" t="s">
        <v>20</v>
      </c>
      <c r="J407" t="s">
        <v>333</v>
      </c>
      <c r="K407" t="s">
        <v>22</v>
      </c>
      <c r="L407" s="1">
        <v>23244</v>
      </c>
      <c r="M407">
        <v>25678.78</v>
      </c>
      <c r="N407" t="s">
        <v>29</v>
      </c>
      <c r="O407" t="s">
        <v>24</v>
      </c>
      <c r="P407" t="s">
        <v>33</v>
      </c>
      <c r="Q407">
        <v>59</v>
      </c>
    </row>
    <row r="408" spans="1:17" x14ac:dyDescent="0.3">
      <c r="A408" t="s">
        <v>839</v>
      </c>
      <c r="B408" t="s">
        <v>840</v>
      </c>
      <c r="C408">
        <v>32.11</v>
      </c>
      <c r="D408">
        <v>4.76</v>
      </c>
      <c r="E408" t="s">
        <v>19</v>
      </c>
      <c r="F408" t="s">
        <v>19</v>
      </c>
      <c r="G408" t="s">
        <v>19</v>
      </c>
      <c r="H408">
        <v>2</v>
      </c>
      <c r="I408" t="s">
        <v>19</v>
      </c>
      <c r="J408" t="s">
        <v>21</v>
      </c>
      <c r="K408" t="s">
        <v>39</v>
      </c>
      <c r="L408" s="1">
        <v>26497</v>
      </c>
      <c r="M408">
        <v>25656.58</v>
      </c>
      <c r="N408" t="s">
        <v>29</v>
      </c>
      <c r="O408" t="s">
        <v>24</v>
      </c>
      <c r="P408" t="s">
        <v>36</v>
      </c>
      <c r="Q408">
        <v>50</v>
      </c>
    </row>
    <row r="409" spans="1:17" x14ac:dyDescent="0.3">
      <c r="A409" t="s">
        <v>841</v>
      </c>
      <c r="B409" t="s">
        <v>842</v>
      </c>
      <c r="C409">
        <v>29.8</v>
      </c>
      <c r="D409">
        <v>8.24</v>
      </c>
      <c r="E409" t="s">
        <v>32</v>
      </c>
      <c r="F409" t="s">
        <v>19</v>
      </c>
      <c r="G409" t="s">
        <v>19</v>
      </c>
      <c r="H409">
        <v>1</v>
      </c>
      <c r="I409" t="s">
        <v>20</v>
      </c>
      <c r="J409" t="s">
        <v>333</v>
      </c>
      <c r="K409" t="s">
        <v>22</v>
      </c>
      <c r="L409" s="1">
        <v>37105</v>
      </c>
      <c r="M409">
        <v>25648.98</v>
      </c>
      <c r="N409" t="s">
        <v>29</v>
      </c>
      <c r="O409" t="s">
        <v>23</v>
      </c>
      <c r="P409" t="s">
        <v>42</v>
      </c>
      <c r="Q409">
        <v>21</v>
      </c>
    </row>
    <row r="410" spans="1:17" x14ac:dyDescent="0.3">
      <c r="A410" t="s">
        <v>843</v>
      </c>
      <c r="B410" t="s">
        <v>844</v>
      </c>
      <c r="C410">
        <v>24.01</v>
      </c>
      <c r="D410">
        <v>4.76</v>
      </c>
      <c r="E410" t="s">
        <v>19</v>
      </c>
      <c r="F410" t="s">
        <v>19</v>
      </c>
      <c r="G410" t="s">
        <v>19</v>
      </c>
      <c r="H410">
        <v>1</v>
      </c>
      <c r="I410" t="s">
        <v>20</v>
      </c>
      <c r="J410" t="s">
        <v>482</v>
      </c>
      <c r="K410" t="s">
        <v>39</v>
      </c>
      <c r="L410" s="1">
        <v>25183</v>
      </c>
      <c r="M410">
        <v>25517.11</v>
      </c>
      <c r="N410" t="s">
        <v>29</v>
      </c>
      <c r="O410" t="s">
        <v>24</v>
      </c>
      <c r="P410" t="s">
        <v>206</v>
      </c>
      <c r="Q410">
        <v>54</v>
      </c>
    </row>
    <row r="411" spans="1:17" x14ac:dyDescent="0.3">
      <c r="A411" t="s">
        <v>845</v>
      </c>
      <c r="B411" t="s">
        <v>846</v>
      </c>
      <c r="C411">
        <v>23.21</v>
      </c>
      <c r="D411">
        <v>6.03</v>
      </c>
      <c r="E411" t="s">
        <v>19</v>
      </c>
      <c r="F411" t="s">
        <v>19</v>
      </c>
      <c r="G411" t="s">
        <v>19</v>
      </c>
      <c r="H411">
        <v>1</v>
      </c>
      <c r="I411" t="s">
        <v>19</v>
      </c>
      <c r="J411" t="s">
        <v>482</v>
      </c>
      <c r="K411" t="s">
        <v>28</v>
      </c>
      <c r="L411" s="1">
        <v>25072</v>
      </c>
      <c r="M411">
        <v>25382.3</v>
      </c>
      <c r="N411" t="s">
        <v>29</v>
      </c>
      <c r="O411" t="s">
        <v>29</v>
      </c>
      <c r="P411" t="s">
        <v>42</v>
      </c>
      <c r="Q411">
        <v>54</v>
      </c>
    </row>
    <row r="412" spans="1:17" x14ac:dyDescent="0.3">
      <c r="A412" t="s">
        <v>847</v>
      </c>
      <c r="B412" t="s">
        <v>848</v>
      </c>
      <c r="C412">
        <v>21.2</v>
      </c>
      <c r="D412">
        <v>4.07</v>
      </c>
      <c r="E412" t="s">
        <v>32</v>
      </c>
      <c r="F412" t="s">
        <v>19</v>
      </c>
      <c r="G412" t="s">
        <v>19</v>
      </c>
      <c r="H412">
        <v>1</v>
      </c>
      <c r="I412" t="s">
        <v>20</v>
      </c>
      <c r="J412" t="s">
        <v>482</v>
      </c>
      <c r="K412" t="s">
        <v>39</v>
      </c>
      <c r="L412" s="1">
        <v>26568</v>
      </c>
      <c r="M412">
        <v>25333.33</v>
      </c>
      <c r="N412" t="s">
        <v>29</v>
      </c>
      <c r="O412" t="s">
        <v>29</v>
      </c>
      <c r="P412" t="s">
        <v>206</v>
      </c>
      <c r="Q412">
        <v>50</v>
      </c>
    </row>
    <row r="413" spans="1:17" x14ac:dyDescent="0.3">
      <c r="A413" t="s">
        <v>849</v>
      </c>
      <c r="B413" t="s">
        <v>850</v>
      </c>
      <c r="C413">
        <v>28.215</v>
      </c>
      <c r="D413">
        <v>8.26</v>
      </c>
      <c r="E413" t="s">
        <v>32</v>
      </c>
      <c r="F413" t="s">
        <v>19</v>
      </c>
      <c r="G413" t="s">
        <v>19</v>
      </c>
      <c r="H413">
        <v>1</v>
      </c>
      <c r="I413" t="s">
        <v>20</v>
      </c>
      <c r="J413" t="s">
        <v>333</v>
      </c>
      <c r="K413" t="s">
        <v>22</v>
      </c>
      <c r="L413" s="1">
        <v>27742</v>
      </c>
      <c r="M413">
        <v>25309.49</v>
      </c>
      <c r="N413" t="s">
        <v>29</v>
      </c>
      <c r="O413" t="s">
        <v>23</v>
      </c>
      <c r="P413" t="s">
        <v>42</v>
      </c>
      <c r="Q413">
        <v>47</v>
      </c>
    </row>
    <row r="414" spans="1:17" x14ac:dyDescent="0.3">
      <c r="A414" t="s">
        <v>851</v>
      </c>
      <c r="B414" t="s">
        <v>852</v>
      </c>
      <c r="C414">
        <v>38.094999999999999</v>
      </c>
      <c r="D414">
        <v>4.76</v>
      </c>
      <c r="E414" t="s">
        <v>19</v>
      </c>
      <c r="F414" t="s">
        <v>19</v>
      </c>
      <c r="G414" t="s">
        <v>19</v>
      </c>
      <c r="H414">
        <v>1</v>
      </c>
      <c r="I414" t="s">
        <v>19</v>
      </c>
      <c r="J414" t="s">
        <v>21</v>
      </c>
      <c r="K414" t="s">
        <v>39</v>
      </c>
      <c r="L414" s="1">
        <v>36123</v>
      </c>
      <c r="M414">
        <v>25127.22</v>
      </c>
      <c r="N414" t="s">
        <v>29</v>
      </c>
      <c r="O414" t="s">
        <v>24</v>
      </c>
      <c r="P414" t="s">
        <v>42</v>
      </c>
      <c r="Q414">
        <v>24</v>
      </c>
    </row>
    <row r="415" spans="1:17" x14ac:dyDescent="0.3">
      <c r="A415" t="s">
        <v>853</v>
      </c>
      <c r="B415" t="s">
        <v>854</v>
      </c>
      <c r="C415">
        <v>22.61</v>
      </c>
      <c r="D415">
        <v>6.13</v>
      </c>
      <c r="E415" t="s">
        <v>32</v>
      </c>
      <c r="F415" t="s">
        <v>19</v>
      </c>
      <c r="G415" t="s">
        <v>20</v>
      </c>
      <c r="H415">
        <v>1</v>
      </c>
      <c r="I415" t="s">
        <v>20</v>
      </c>
      <c r="J415" t="s">
        <v>482</v>
      </c>
      <c r="K415" t="s">
        <v>28</v>
      </c>
      <c r="L415" s="1">
        <v>35960</v>
      </c>
      <c r="M415">
        <v>25081.77</v>
      </c>
      <c r="N415" t="s">
        <v>29</v>
      </c>
      <c r="O415" t="s">
        <v>29</v>
      </c>
      <c r="P415" t="s">
        <v>25</v>
      </c>
      <c r="Q415">
        <v>24</v>
      </c>
    </row>
    <row r="416" spans="1:17" x14ac:dyDescent="0.3">
      <c r="A416" t="s">
        <v>855</v>
      </c>
      <c r="B416" t="s">
        <v>856</v>
      </c>
      <c r="C416">
        <v>24.32</v>
      </c>
      <c r="D416">
        <v>10.47</v>
      </c>
      <c r="E416" t="s">
        <v>32</v>
      </c>
      <c r="F416" t="s">
        <v>19</v>
      </c>
      <c r="G416" t="s">
        <v>19</v>
      </c>
      <c r="H416">
        <v>2</v>
      </c>
      <c r="I416" t="s">
        <v>20</v>
      </c>
      <c r="J416" t="s">
        <v>482</v>
      </c>
      <c r="K416" t="s">
        <v>22</v>
      </c>
      <c r="L416" s="1">
        <v>35037</v>
      </c>
      <c r="M416">
        <v>25075.97</v>
      </c>
      <c r="N416" t="s">
        <v>29</v>
      </c>
      <c r="O416" t="s">
        <v>29</v>
      </c>
      <c r="P416" t="s">
        <v>42</v>
      </c>
      <c r="Q416">
        <v>27</v>
      </c>
    </row>
    <row r="417" spans="1:17" x14ac:dyDescent="0.3">
      <c r="A417" t="s">
        <v>857</v>
      </c>
      <c r="B417" t="s">
        <v>858</v>
      </c>
      <c r="C417">
        <v>20.96</v>
      </c>
      <c r="D417">
        <v>4.04</v>
      </c>
      <c r="E417" t="s">
        <v>32</v>
      </c>
      <c r="F417" t="s">
        <v>19</v>
      </c>
      <c r="G417" t="s">
        <v>19</v>
      </c>
      <c r="H417">
        <v>1</v>
      </c>
      <c r="I417" t="s">
        <v>20</v>
      </c>
      <c r="J417" t="s">
        <v>482</v>
      </c>
      <c r="K417" t="s">
        <v>39</v>
      </c>
      <c r="L417" s="1">
        <v>27712</v>
      </c>
      <c r="M417">
        <v>24915.22</v>
      </c>
      <c r="N417" t="s">
        <v>29</v>
      </c>
      <c r="O417" t="s">
        <v>24</v>
      </c>
      <c r="P417" t="s">
        <v>33</v>
      </c>
      <c r="Q417">
        <v>47</v>
      </c>
    </row>
    <row r="418" spans="1:17" x14ac:dyDescent="0.3">
      <c r="A418" t="s">
        <v>859</v>
      </c>
      <c r="B418" t="s">
        <v>860</v>
      </c>
      <c r="C418">
        <v>19.68</v>
      </c>
      <c r="D418">
        <v>5.74</v>
      </c>
      <c r="E418" t="s">
        <v>19</v>
      </c>
      <c r="F418" t="s">
        <v>19</v>
      </c>
      <c r="G418" t="s">
        <v>19</v>
      </c>
      <c r="H418">
        <v>0</v>
      </c>
      <c r="I418" t="s">
        <v>20</v>
      </c>
      <c r="J418" t="s">
        <v>482</v>
      </c>
      <c r="K418" t="s">
        <v>28</v>
      </c>
      <c r="L418" s="1">
        <v>31942</v>
      </c>
      <c r="M418">
        <v>24915.05</v>
      </c>
      <c r="N418" t="s">
        <v>29</v>
      </c>
      <c r="O418" t="s">
        <v>23</v>
      </c>
      <c r="P418" t="s">
        <v>36</v>
      </c>
      <c r="Q418">
        <v>35</v>
      </c>
    </row>
    <row r="419" spans="1:17" x14ac:dyDescent="0.3">
      <c r="A419" t="s">
        <v>861</v>
      </c>
      <c r="B419" t="s">
        <v>862</v>
      </c>
      <c r="C419">
        <v>18.100000000000001</v>
      </c>
      <c r="D419">
        <v>6.33</v>
      </c>
      <c r="E419" t="s">
        <v>19</v>
      </c>
      <c r="F419" t="s">
        <v>19</v>
      </c>
      <c r="G419" t="s">
        <v>19</v>
      </c>
      <c r="H419">
        <v>1</v>
      </c>
      <c r="I419" t="s">
        <v>20</v>
      </c>
      <c r="J419" t="s">
        <v>592</v>
      </c>
      <c r="K419" t="s">
        <v>28</v>
      </c>
      <c r="L419" s="1">
        <v>25407</v>
      </c>
      <c r="M419">
        <v>24873.38</v>
      </c>
      <c r="N419" t="s">
        <v>29</v>
      </c>
      <c r="O419" t="s">
        <v>23</v>
      </c>
      <c r="P419" t="s">
        <v>36</v>
      </c>
      <c r="Q419">
        <v>53</v>
      </c>
    </row>
    <row r="420" spans="1:17" x14ac:dyDescent="0.3">
      <c r="A420" t="s">
        <v>863</v>
      </c>
      <c r="B420" t="s">
        <v>864</v>
      </c>
      <c r="C420">
        <v>29.64</v>
      </c>
      <c r="D420">
        <v>4.28</v>
      </c>
      <c r="E420" t="s">
        <v>32</v>
      </c>
      <c r="F420" t="s">
        <v>19</v>
      </c>
      <c r="G420" t="s">
        <v>19</v>
      </c>
      <c r="H420">
        <v>0</v>
      </c>
      <c r="I420" t="s">
        <v>19</v>
      </c>
      <c r="J420" t="s">
        <v>333</v>
      </c>
      <c r="K420" t="s">
        <v>39</v>
      </c>
      <c r="L420" s="1">
        <v>25898</v>
      </c>
      <c r="M420">
        <v>24869.84</v>
      </c>
      <c r="N420" t="s">
        <v>29</v>
      </c>
      <c r="O420" t="s">
        <v>29</v>
      </c>
      <c r="P420" t="s">
        <v>59</v>
      </c>
      <c r="Q420">
        <v>52</v>
      </c>
    </row>
    <row r="421" spans="1:17" x14ac:dyDescent="0.3">
      <c r="A421" t="s">
        <v>865</v>
      </c>
      <c r="B421" t="s">
        <v>866</v>
      </c>
      <c r="C421">
        <v>25.3</v>
      </c>
      <c r="D421">
        <v>9.4700000000000006</v>
      </c>
      <c r="E421" t="s">
        <v>32</v>
      </c>
      <c r="F421" t="s">
        <v>19</v>
      </c>
      <c r="G421" t="s">
        <v>19</v>
      </c>
      <c r="H421">
        <v>2</v>
      </c>
      <c r="I421" t="s">
        <v>20</v>
      </c>
      <c r="J421" t="s">
        <v>333</v>
      </c>
      <c r="K421" t="s">
        <v>22</v>
      </c>
      <c r="L421" s="1">
        <v>34860</v>
      </c>
      <c r="M421">
        <v>24863.25</v>
      </c>
      <c r="N421" t="s">
        <v>29</v>
      </c>
      <c r="O421" t="s">
        <v>24</v>
      </c>
      <c r="P421" t="s">
        <v>42</v>
      </c>
      <c r="Q421">
        <v>27</v>
      </c>
    </row>
    <row r="422" spans="1:17" x14ac:dyDescent="0.3">
      <c r="A422" t="s">
        <v>867</v>
      </c>
      <c r="B422" t="s">
        <v>868</v>
      </c>
      <c r="C422">
        <v>27.6</v>
      </c>
      <c r="D422">
        <v>4.8499999999999996</v>
      </c>
      <c r="E422" t="s">
        <v>32</v>
      </c>
      <c r="F422" t="s">
        <v>19</v>
      </c>
      <c r="G422" t="s">
        <v>19</v>
      </c>
      <c r="H422">
        <v>0</v>
      </c>
      <c r="I422" t="s">
        <v>19</v>
      </c>
      <c r="J422" t="s">
        <v>333</v>
      </c>
      <c r="K422" t="s">
        <v>39</v>
      </c>
      <c r="L422" s="1">
        <v>34586</v>
      </c>
      <c r="M422">
        <v>24817.25</v>
      </c>
      <c r="N422" t="s">
        <v>29</v>
      </c>
      <c r="O422" t="s">
        <v>29</v>
      </c>
      <c r="P422" t="s">
        <v>42</v>
      </c>
      <c r="Q422">
        <v>28</v>
      </c>
    </row>
    <row r="423" spans="1:17" x14ac:dyDescent="0.3">
      <c r="A423" t="s">
        <v>869</v>
      </c>
      <c r="B423" t="s">
        <v>254</v>
      </c>
      <c r="C423">
        <v>27.645</v>
      </c>
      <c r="D423">
        <v>11.03</v>
      </c>
      <c r="E423" t="s">
        <v>32</v>
      </c>
      <c r="F423" t="s">
        <v>19</v>
      </c>
      <c r="G423" t="s">
        <v>19</v>
      </c>
      <c r="H423">
        <v>1</v>
      </c>
      <c r="I423" t="s">
        <v>20</v>
      </c>
      <c r="J423" t="s">
        <v>333</v>
      </c>
      <c r="K423" t="s">
        <v>22</v>
      </c>
      <c r="L423" s="1">
        <v>33888</v>
      </c>
      <c r="M423">
        <v>24795.040000000001</v>
      </c>
      <c r="N423" t="s">
        <v>29</v>
      </c>
      <c r="O423" t="s">
        <v>24</v>
      </c>
      <c r="P423" t="s">
        <v>42</v>
      </c>
      <c r="Q423">
        <v>30</v>
      </c>
    </row>
    <row r="424" spans="1:17" x14ac:dyDescent="0.3">
      <c r="A424" t="s">
        <v>870</v>
      </c>
      <c r="B424" t="s">
        <v>871</v>
      </c>
      <c r="C424">
        <v>27.6</v>
      </c>
      <c r="D424">
        <v>5.22</v>
      </c>
      <c r="E424" t="s">
        <v>19</v>
      </c>
      <c r="F424" t="s">
        <v>19</v>
      </c>
      <c r="G424" t="s">
        <v>19</v>
      </c>
      <c r="H424">
        <v>2</v>
      </c>
      <c r="I424" t="s">
        <v>20</v>
      </c>
      <c r="J424" t="s">
        <v>333</v>
      </c>
      <c r="K424" t="s">
        <v>39</v>
      </c>
      <c r="L424" s="1">
        <v>35305</v>
      </c>
      <c r="M424">
        <v>24671.66</v>
      </c>
      <c r="N424" t="s">
        <v>29</v>
      </c>
      <c r="O424" t="s">
        <v>23</v>
      </c>
      <c r="P424" t="s">
        <v>36</v>
      </c>
      <c r="Q424">
        <v>26</v>
      </c>
    </row>
    <row r="425" spans="1:17" x14ac:dyDescent="0.3">
      <c r="A425" t="s">
        <v>872</v>
      </c>
      <c r="B425" t="s">
        <v>873</v>
      </c>
      <c r="C425">
        <v>25.08</v>
      </c>
      <c r="D425">
        <v>9.52</v>
      </c>
      <c r="E425" t="s">
        <v>32</v>
      </c>
      <c r="F425" t="s">
        <v>19</v>
      </c>
      <c r="G425" t="s">
        <v>19</v>
      </c>
      <c r="H425">
        <v>2</v>
      </c>
      <c r="I425" t="s">
        <v>19</v>
      </c>
      <c r="J425" t="s">
        <v>333</v>
      </c>
      <c r="K425" t="s">
        <v>22</v>
      </c>
      <c r="L425" s="1">
        <v>25731</v>
      </c>
      <c r="M425">
        <v>24667.42</v>
      </c>
      <c r="N425" t="s">
        <v>29</v>
      </c>
      <c r="O425" t="s">
        <v>24</v>
      </c>
      <c r="P425" t="s">
        <v>25</v>
      </c>
      <c r="Q425">
        <v>52</v>
      </c>
    </row>
    <row r="426" spans="1:17" x14ac:dyDescent="0.3">
      <c r="A426" t="s">
        <v>874</v>
      </c>
      <c r="B426" t="s">
        <v>875</v>
      </c>
      <c r="C426">
        <v>30.02</v>
      </c>
      <c r="D426">
        <v>11.09</v>
      </c>
      <c r="E426" t="s">
        <v>19</v>
      </c>
      <c r="F426" t="s">
        <v>19</v>
      </c>
      <c r="G426" t="s">
        <v>19</v>
      </c>
      <c r="H426">
        <v>0</v>
      </c>
      <c r="I426" t="s">
        <v>19</v>
      </c>
      <c r="J426" t="s">
        <v>21</v>
      </c>
      <c r="K426" t="s">
        <v>22</v>
      </c>
      <c r="L426" s="1">
        <v>28045</v>
      </c>
      <c r="M426">
        <v>24603.05</v>
      </c>
      <c r="N426" t="s">
        <v>29</v>
      </c>
      <c r="O426" t="s">
        <v>29</v>
      </c>
      <c r="P426" t="s">
        <v>42</v>
      </c>
      <c r="Q426">
        <v>46</v>
      </c>
    </row>
    <row r="427" spans="1:17" x14ac:dyDescent="0.3">
      <c r="A427" t="s">
        <v>876</v>
      </c>
      <c r="B427" t="s">
        <v>877</v>
      </c>
      <c r="C427">
        <v>27.36</v>
      </c>
      <c r="D427">
        <v>9.4499999999999993</v>
      </c>
      <c r="E427" t="s">
        <v>32</v>
      </c>
      <c r="F427" t="s">
        <v>19</v>
      </c>
      <c r="G427" t="s">
        <v>19</v>
      </c>
      <c r="H427">
        <v>2</v>
      </c>
      <c r="I427" t="s">
        <v>20</v>
      </c>
      <c r="J427" t="s">
        <v>333</v>
      </c>
      <c r="K427" t="s">
        <v>22</v>
      </c>
      <c r="L427" s="1">
        <v>27558</v>
      </c>
      <c r="M427">
        <v>24535.7</v>
      </c>
      <c r="N427" t="s">
        <v>29</v>
      </c>
      <c r="O427" t="s">
        <v>29</v>
      </c>
      <c r="P427" t="s">
        <v>33</v>
      </c>
      <c r="Q427">
        <v>47</v>
      </c>
    </row>
    <row r="428" spans="1:17" x14ac:dyDescent="0.3">
      <c r="A428" t="s">
        <v>878</v>
      </c>
      <c r="B428" t="s">
        <v>879</v>
      </c>
      <c r="C428">
        <v>22.2</v>
      </c>
      <c r="D428">
        <v>5.51</v>
      </c>
      <c r="E428" t="s">
        <v>19</v>
      </c>
      <c r="F428" t="s">
        <v>19</v>
      </c>
      <c r="G428" t="s">
        <v>19</v>
      </c>
      <c r="H428">
        <v>0</v>
      </c>
      <c r="I428" t="s">
        <v>20</v>
      </c>
      <c r="J428" t="s">
        <v>482</v>
      </c>
      <c r="K428" t="s">
        <v>39</v>
      </c>
      <c r="L428" s="1">
        <v>26556</v>
      </c>
      <c r="M428">
        <v>24520.26</v>
      </c>
      <c r="N428" t="s">
        <v>29</v>
      </c>
      <c r="O428" t="s">
        <v>24</v>
      </c>
      <c r="P428" t="s">
        <v>42</v>
      </c>
      <c r="Q428">
        <v>50</v>
      </c>
    </row>
    <row r="429" spans="1:17" x14ac:dyDescent="0.3">
      <c r="A429" t="s">
        <v>880</v>
      </c>
      <c r="B429" t="s">
        <v>881</v>
      </c>
      <c r="C429">
        <v>25.71</v>
      </c>
      <c r="D429">
        <v>4.18</v>
      </c>
      <c r="E429" t="s">
        <v>19</v>
      </c>
      <c r="F429" t="s">
        <v>32</v>
      </c>
      <c r="G429" t="s">
        <v>19</v>
      </c>
      <c r="H429">
        <v>1</v>
      </c>
      <c r="I429" t="s">
        <v>20</v>
      </c>
      <c r="J429" t="s">
        <v>333</v>
      </c>
      <c r="K429" t="s">
        <v>39</v>
      </c>
      <c r="L429" s="1">
        <v>22575</v>
      </c>
      <c r="M429">
        <v>24513.09</v>
      </c>
      <c r="N429" t="s">
        <v>29</v>
      </c>
      <c r="O429" t="s">
        <v>29</v>
      </c>
      <c r="P429" t="s">
        <v>25</v>
      </c>
      <c r="Q429">
        <v>61</v>
      </c>
    </row>
    <row r="430" spans="1:17" x14ac:dyDescent="0.3">
      <c r="A430" t="s">
        <v>882</v>
      </c>
      <c r="B430" t="s">
        <v>883</v>
      </c>
      <c r="C430">
        <v>41.91</v>
      </c>
      <c r="D430">
        <v>5.98</v>
      </c>
      <c r="E430" t="s">
        <v>32</v>
      </c>
      <c r="F430" t="s">
        <v>19</v>
      </c>
      <c r="G430" t="s">
        <v>19</v>
      </c>
      <c r="H430">
        <v>1</v>
      </c>
      <c r="I430" t="s">
        <v>19</v>
      </c>
      <c r="J430" t="s">
        <v>21</v>
      </c>
      <c r="K430" t="s">
        <v>28</v>
      </c>
      <c r="L430" s="1">
        <v>25025</v>
      </c>
      <c r="M430">
        <v>24476.48</v>
      </c>
      <c r="N430" t="s">
        <v>29</v>
      </c>
      <c r="O430" t="s">
        <v>29</v>
      </c>
      <c r="P430" t="s">
        <v>33</v>
      </c>
      <c r="Q430">
        <v>54</v>
      </c>
    </row>
    <row r="431" spans="1:17" x14ac:dyDescent="0.3">
      <c r="A431" t="s">
        <v>884</v>
      </c>
      <c r="B431" t="s">
        <v>885</v>
      </c>
      <c r="C431">
        <v>25.85</v>
      </c>
      <c r="D431">
        <v>10.16</v>
      </c>
      <c r="E431" t="s">
        <v>19</v>
      </c>
      <c r="F431" t="s">
        <v>19</v>
      </c>
      <c r="G431" t="s">
        <v>19</v>
      </c>
      <c r="H431">
        <v>0</v>
      </c>
      <c r="I431" t="s">
        <v>20</v>
      </c>
      <c r="J431" t="s">
        <v>333</v>
      </c>
      <c r="K431" t="s">
        <v>22</v>
      </c>
      <c r="L431" s="1">
        <v>25902</v>
      </c>
      <c r="M431">
        <v>24393.62</v>
      </c>
      <c r="N431" t="s">
        <v>29</v>
      </c>
      <c r="O431" t="s">
        <v>24</v>
      </c>
      <c r="P431" t="s">
        <v>33</v>
      </c>
      <c r="Q431">
        <v>52</v>
      </c>
    </row>
    <row r="432" spans="1:17" x14ac:dyDescent="0.3">
      <c r="A432" t="s">
        <v>886</v>
      </c>
      <c r="B432" t="s">
        <v>887</v>
      </c>
      <c r="C432">
        <v>23.844999999999999</v>
      </c>
      <c r="D432">
        <v>11.71</v>
      </c>
      <c r="E432" t="s">
        <v>19</v>
      </c>
      <c r="F432" t="s">
        <v>19</v>
      </c>
      <c r="G432" t="s">
        <v>19</v>
      </c>
      <c r="H432">
        <v>2</v>
      </c>
      <c r="I432" t="s">
        <v>20</v>
      </c>
      <c r="J432" t="s">
        <v>482</v>
      </c>
      <c r="K432" t="s">
        <v>22</v>
      </c>
      <c r="L432" s="1">
        <v>36440</v>
      </c>
      <c r="M432">
        <v>24387.74</v>
      </c>
      <c r="N432" t="s">
        <v>29</v>
      </c>
      <c r="O432" t="s">
        <v>23</v>
      </c>
      <c r="P432" t="s">
        <v>42</v>
      </c>
      <c r="Q432">
        <v>23</v>
      </c>
    </row>
    <row r="433" spans="1:17" x14ac:dyDescent="0.3">
      <c r="A433" t="s">
        <v>888</v>
      </c>
      <c r="B433" t="s">
        <v>889</v>
      </c>
      <c r="C433">
        <v>30.59</v>
      </c>
      <c r="D433">
        <v>5.23</v>
      </c>
      <c r="E433" t="s">
        <v>19</v>
      </c>
      <c r="F433" t="s">
        <v>19</v>
      </c>
      <c r="G433" t="s">
        <v>20</v>
      </c>
      <c r="H433">
        <v>1</v>
      </c>
      <c r="I433" t="s">
        <v>19</v>
      </c>
      <c r="J433" t="s">
        <v>21</v>
      </c>
      <c r="K433" t="s">
        <v>39</v>
      </c>
      <c r="L433" s="1">
        <v>38202</v>
      </c>
      <c r="M433">
        <v>24294.02</v>
      </c>
      <c r="N433" t="s">
        <v>29</v>
      </c>
      <c r="O433" t="s">
        <v>23</v>
      </c>
      <c r="P433" t="s">
        <v>42</v>
      </c>
      <c r="Q433">
        <v>18</v>
      </c>
    </row>
    <row r="434" spans="1:17" x14ac:dyDescent="0.3">
      <c r="A434" t="s">
        <v>890</v>
      </c>
      <c r="B434" t="s">
        <v>891</v>
      </c>
      <c r="C434">
        <v>24.795000000000002</v>
      </c>
      <c r="D434">
        <v>6.85</v>
      </c>
      <c r="E434" t="s">
        <v>19</v>
      </c>
      <c r="F434" t="s">
        <v>19</v>
      </c>
      <c r="G434" t="s">
        <v>19</v>
      </c>
      <c r="H434">
        <v>0</v>
      </c>
      <c r="I434" t="s">
        <v>20</v>
      </c>
      <c r="J434" t="s">
        <v>482</v>
      </c>
      <c r="K434" t="s">
        <v>22</v>
      </c>
      <c r="L434" s="1">
        <v>23727</v>
      </c>
      <c r="M434">
        <v>24227.34</v>
      </c>
      <c r="N434" t="s">
        <v>29</v>
      </c>
      <c r="O434" t="s">
        <v>23</v>
      </c>
      <c r="P434" t="s">
        <v>25</v>
      </c>
      <c r="Q434">
        <v>58</v>
      </c>
    </row>
    <row r="435" spans="1:17" x14ac:dyDescent="0.3">
      <c r="A435" t="s">
        <v>892</v>
      </c>
      <c r="B435" t="s">
        <v>893</v>
      </c>
      <c r="C435">
        <v>24.13</v>
      </c>
      <c r="D435">
        <v>7.05</v>
      </c>
      <c r="E435" t="s">
        <v>32</v>
      </c>
      <c r="F435" t="s">
        <v>19</v>
      </c>
      <c r="G435" t="s">
        <v>19</v>
      </c>
      <c r="H435">
        <v>2</v>
      </c>
      <c r="I435" t="s">
        <v>20</v>
      </c>
      <c r="J435" t="s">
        <v>482</v>
      </c>
      <c r="K435" t="s">
        <v>22</v>
      </c>
      <c r="L435" s="1">
        <v>27282</v>
      </c>
      <c r="M435">
        <v>24180.93</v>
      </c>
      <c r="N435" t="s">
        <v>29</v>
      </c>
      <c r="O435" t="s">
        <v>23</v>
      </c>
      <c r="P435" t="s">
        <v>25</v>
      </c>
      <c r="Q435">
        <v>48</v>
      </c>
    </row>
    <row r="436" spans="1:17" x14ac:dyDescent="0.3">
      <c r="A436" t="s">
        <v>894</v>
      </c>
      <c r="B436" t="s">
        <v>895</v>
      </c>
      <c r="C436">
        <v>25.84</v>
      </c>
      <c r="D436">
        <v>11.64</v>
      </c>
      <c r="E436" t="s">
        <v>19</v>
      </c>
      <c r="F436" t="s">
        <v>19</v>
      </c>
      <c r="G436" t="s">
        <v>19</v>
      </c>
      <c r="H436">
        <v>2</v>
      </c>
      <c r="I436" t="s">
        <v>20</v>
      </c>
      <c r="J436" t="s">
        <v>333</v>
      </c>
      <c r="K436" t="s">
        <v>22</v>
      </c>
      <c r="L436" s="1">
        <v>26828</v>
      </c>
      <c r="M436">
        <v>24106.91</v>
      </c>
      <c r="N436" t="s">
        <v>29</v>
      </c>
      <c r="O436" t="s">
        <v>29</v>
      </c>
      <c r="P436" t="s">
        <v>36</v>
      </c>
      <c r="Q436">
        <v>49</v>
      </c>
    </row>
    <row r="437" spans="1:17" x14ac:dyDescent="0.3">
      <c r="A437" t="s">
        <v>896</v>
      </c>
      <c r="B437" t="s">
        <v>897</v>
      </c>
      <c r="C437">
        <v>28</v>
      </c>
      <c r="D437">
        <v>10.52</v>
      </c>
      <c r="E437" t="s">
        <v>19</v>
      </c>
      <c r="F437" t="s">
        <v>19</v>
      </c>
      <c r="G437" t="s">
        <v>19</v>
      </c>
      <c r="H437">
        <v>0</v>
      </c>
      <c r="I437" t="s">
        <v>20</v>
      </c>
      <c r="J437" t="s">
        <v>333</v>
      </c>
      <c r="K437" t="s">
        <v>22</v>
      </c>
      <c r="L437" s="1">
        <v>37985</v>
      </c>
      <c r="M437">
        <v>24059.68</v>
      </c>
      <c r="N437" t="s">
        <v>29</v>
      </c>
      <c r="O437" t="s">
        <v>29</v>
      </c>
      <c r="P437" t="s">
        <v>33</v>
      </c>
      <c r="Q437">
        <v>19</v>
      </c>
    </row>
    <row r="438" spans="1:17" x14ac:dyDescent="0.3">
      <c r="A438" t="s">
        <v>898</v>
      </c>
      <c r="B438" t="s">
        <v>899</v>
      </c>
      <c r="C438">
        <v>34.1</v>
      </c>
      <c r="D438">
        <v>4.01</v>
      </c>
      <c r="E438" t="s">
        <v>32</v>
      </c>
      <c r="F438" t="s">
        <v>19</v>
      </c>
      <c r="G438" t="s">
        <v>20</v>
      </c>
      <c r="H438">
        <v>1</v>
      </c>
      <c r="I438" t="s">
        <v>19</v>
      </c>
      <c r="J438" t="s">
        <v>21</v>
      </c>
      <c r="K438" t="s">
        <v>39</v>
      </c>
      <c r="L438" s="1">
        <v>26124</v>
      </c>
      <c r="M438">
        <v>23967.38</v>
      </c>
      <c r="N438" t="s">
        <v>29</v>
      </c>
      <c r="O438" t="s">
        <v>29</v>
      </c>
      <c r="P438" t="s">
        <v>33</v>
      </c>
      <c r="Q438">
        <v>51</v>
      </c>
    </row>
    <row r="439" spans="1:17" x14ac:dyDescent="0.3">
      <c r="A439" t="s">
        <v>900</v>
      </c>
      <c r="B439" t="s">
        <v>901</v>
      </c>
      <c r="C439">
        <v>26.125</v>
      </c>
      <c r="D439">
        <v>8.56</v>
      </c>
      <c r="E439" t="s">
        <v>32</v>
      </c>
      <c r="F439" t="s">
        <v>19</v>
      </c>
      <c r="G439" t="s">
        <v>19</v>
      </c>
      <c r="H439">
        <v>1</v>
      </c>
      <c r="I439" t="s">
        <v>20</v>
      </c>
      <c r="J439" t="s">
        <v>333</v>
      </c>
      <c r="K439" t="s">
        <v>22</v>
      </c>
      <c r="L439" s="1">
        <v>25788</v>
      </c>
      <c r="M439">
        <v>23887.66</v>
      </c>
      <c r="N439" t="s">
        <v>29</v>
      </c>
      <c r="O439" t="s">
        <v>24</v>
      </c>
      <c r="P439" t="s">
        <v>33</v>
      </c>
      <c r="Q439">
        <v>52</v>
      </c>
    </row>
    <row r="440" spans="1:17" x14ac:dyDescent="0.3">
      <c r="A440" t="s">
        <v>902</v>
      </c>
      <c r="B440" t="s">
        <v>903</v>
      </c>
      <c r="C440">
        <v>25.6</v>
      </c>
      <c r="D440">
        <v>10.5</v>
      </c>
      <c r="E440" t="s">
        <v>19</v>
      </c>
      <c r="F440" t="s">
        <v>19</v>
      </c>
      <c r="G440" t="s">
        <v>19</v>
      </c>
      <c r="H440">
        <v>2</v>
      </c>
      <c r="I440" t="s">
        <v>20</v>
      </c>
      <c r="J440" t="s">
        <v>333</v>
      </c>
      <c r="K440" t="s">
        <v>22</v>
      </c>
      <c r="L440" s="1">
        <v>26842</v>
      </c>
      <c r="M440">
        <v>23807.24</v>
      </c>
      <c r="N440" t="s">
        <v>29</v>
      </c>
      <c r="O440" t="s">
        <v>24</v>
      </c>
      <c r="P440" t="s">
        <v>33</v>
      </c>
      <c r="Q440">
        <v>49</v>
      </c>
    </row>
    <row r="441" spans="1:17" x14ac:dyDescent="0.3">
      <c r="A441" t="s">
        <v>904</v>
      </c>
      <c r="B441" t="s">
        <v>905</v>
      </c>
      <c r="C441">
        <v>24.32</v>
      </c>
      <c r="D441">
        <v>6.39</v>
      </c>
      <c r="E441" t="s">
        <v>19</v>
      </c>
      <c r="F441" t="s">
        <v>19</v>
      </c>
      <c r="G441" t="s">
        <v>19</v>
      </c>
      <c r="H441">
        <v>0</v>
      </c>
      <c r="I441" t="s">
        <v>19</v>
      </c>
      <c r="J441" t="s">
        <v>482</v>
      </c>
      <c r="K441" t="s">
        <v>28</v>
      </c>
      <c r="L441" s="1">
        <v>27182</v>
      </c>
      <c r="M441">
        <v>23568.27</v>
      </c>
      <c r="N441" t="s">
        <v>29</v>
      </c>
      <c r="O441" t="s">
        <v>29</v>
      </c>
      <c r="P441" t="s">
        <v>42</v>
      </c>
      <c r="Q441">
        <v>49</v>
      </c>
    </row>
    <row r="442" spans="1:17" x14ac:dyDescent="0.3">
      <c r="A442" t="s">
        <v>906</v>
      </c>
      <c r="B442" t="s">
        <v>907</v>
      </c>
      <c r="C442">
        <v>22.88</v>
      </c>
      <c r="D442">
        <v>5.71</v>
      </c>
      <c r="E442" t="s">
        <v>32</v>
      </c>
      <c r="F442" t="s">
        <v>19</v>
      </c>
      <c r="G442" t="s">
        <v>20</v>
      </c>
      <c r="H442">
        <v>1</v>
      </c>
      <c r="I442" t="s">
        <v>20</v>
      </c>
      <c r="J442" t="s">
        <v>482</v>
      </c>
      <c r="K442" t="s">
        <v>28</v>
      </c>
      <c r="L442" s="1">
        <v>30554</v>
      </c>
      <c r="M442">
        <v>23563.02</v>
      </c>
      <c r="N442" t="s">
        <v>29</v>
      </c>
      <c r="O442" t="s">
        <v>29</v>
      </c>
      <c r="P442" t="s">
        <v>25</v>
      </c>
      <c r="Q442">
        <v>39</v>
      </c>
    </row>
    <row r="443" spans="1:17" x14ac:dyDescent="0.3">
      <c r="A443" t="s">
        <v>908</v>
      </c>
      <c r="B443" t="s">
        <v>909</v>
      </c>
      <c r="C443">
        <v>24.984999999999999</v>
      </c>
      <c r="D443">
        <v>4.43</v>
      </c>
      <c r="E443" t="s">
        <v>32</v>
      </c>
      <c r="F443" t="s">
        <v>19</v>
      </c>
      <c r="G443" t="s">
        <v>20</v>
      </c>
      <c r="H443">
        <v>1</v>
      </c>
      <c r="I443" t="s">
        <v>19</v>
      </c>
      <c r="J443" t="s">
        <v>482</v>
      </c>
      <c r="K443" t="s">
        <v>39</v>
      </c>
      <c r="L443" s="1">
        <v>27711</v>
      </c>
      <c r="M443">
        <v>23401.31</v>
      </c>
      <c r="N443" t="s">
        <v>29</v>
      </c>
      <c r="O443" t="s">
        <v>24</v>
      </c>
      <c r="P443" t="s">
        <v>36</v>
      </c>
      <c r="Q443">
        <v>47</v>
      </c>
    </row>
    <row r="444" spans="1:17" x14ac:dyDescent="0.3">
      <c r="A444" t="s">
        <v>910</v>
      </c>
      <c r="B444" t="s">
        <v>171</v>
      </c>
      <c r="C444">
        <v>33.1</v>
      </c>
      <c r="D444">
        <v>5.52</v>
      </c>
      <c r="E444" t="s">
        <v>19</v>
      </c>
      <c r="F444" t="s">
        <v>19</v>
      </c>
      <c r="G444" t="s">
        <v>20</v>
      </c>
      <c r="H444">
        <v>1</v>
      </c>
      <c r="I444" t="s">
        <v>19</v>
      </c>
      <c r="J444" t="s">
        <v>21</v>
      </c>
      <c r="K444" t="s">
        <v>39</v>
      </c>
      <c r="L444" s="1">
        <v>26959</v>
      </c>
      <c r="M444">
        <v>23306.55</v>
      </c>
      <c r="N444" t="s">
        <v>29</v>
      </c>
      <c r="O444" t="s">
        <v>29</v>
      </c>
      <c r="P444" t="s">
        <v>42</v>
      </c>
      <c r="Q444">
        <v>49</v>
      </c>
    </row>
    <row r="445" spans="1:17" x14ac:dyDescent="0.3">
      <c r="A445" t="s">
        <v>911</v>
      </c>
      <c r="B445" t="s">
        <v>912</v>
      </c>
      <c r="C445">
        <v>27.83</v>
      </c>
      <c r="D445">
        <v>9.1999999999999993</v>
      </c>
      <c r="E445" t="s">
        <v>32</v>
      </c>
      <c r="F445" t="s">
        <v>19</v>
      </c>
      <c r="G445" t="s">
        <v>19</v>
      </c>
      <c r="H445">
        <v>1</v>
      </c>
      <c r="I445" t="s">
        <v>20</v>
      </c>
      <c r="J445" t="s">
        <v>333</v>
      </c>
      <c r="K445" t="s">
        <v>22</v>
      </c>
      <c r="L445" s="1">
        <v>34610</v>
      </c>
      <c r="M445">
        <v>23288.93</v>
      </c>
      <c r="N445" t="s">
        <v>29</v>
      </c>
      <c r="O445" t="s">
        <v>24</v>
      </c>
      <c r="P445" t="s">
        <v>36</v>
      </c>
      <c r="Q445">
        <v>28</v>
      </c>
    </row>
    <row r="446" spans="1:17" x14ac:dyDescent="0.3">
      <c r="A446" t="s">
        <v>913</v>
      </c>
      <c r="B446" t="s">
        <v>914</v>
      </c>
      <c r="C446">
        <v>30.875</v>
      </c>
      <c r="D446">
        <v>10.97</v>
      </c>
      <c r="E446" t="s">
        <v>32</v>
      </c>
      <c r="F446" t="s">
        <v>19</v>
      </c>
      <c r="G446" t="s">
        <v>19</v>
      </c>
      <c r="H446">
        <v>2</v>
      </c>
      <c r="I446" t="s">
        <v>19</v>
      </c>
      <c r="J446" t="s">
        <v>21</v>
      </c>
      <c r="K446" t="s">
        <v>22</v>
      </c>
      <c r="L446" s="1">
        <v>25521</v>
      </c>
      <c r="M446">
        <v>23244.79</v>
      </c>
      <c r="N446" t="s">
        <v>29</v>
      </c>
      <c r="O446" t="s">
        <v>24</v>
      </c>
      <c r="P446" t="s">
        <v>25</v>
      </c>
      <c r="Q446">
        <v>53</v>
      </c>
    </row>
    <row r="447" spans="1:17" x14ac:dyDescent="0.3">
      <c r="A447" t="s">
        <v>915</v>
      </c>
      <c r="B447" t="s">
        <v>916</v>
      </c>
      <c r="C447">
        <v>27.265000000000001</v>
      </c>
      <c r="D447">
        <v>4.25</v>
      </c>
      <c r="E447" t="s">
        <v>19</v>
      </c>
      <c r="F447" t="s">
        <v>19</v>
      </c>
      <c r="G447" t="s">
        <v>20</v>
      </c>
      <c r="H447">
        <v>1</v>
      </c>
      <c r="I447" t="s">
        <v>19</v>
      </c>
      <c r="J447" t="s">
        <v>333</v>
      </c>
      <c r="K447" t="s">
        <v>39</v>
      </c>
      <c r="L447" s="1">
        <v>35649</v>
      </c>
      <c r="M447">
        <v>23241.47</v>
      </c>
      <c r="N447" t="s">
        <v>29</v>
      </c>
      <c r="O447" t="s">
        <v>24</v>
      </c>
      <c r="P447" t="s">
        <v>565</v>
      </c>
      <c r="Q447">
        <v>25</v>
      </c>
    </row>
    <row r="448" spans="1:17" x14ac:dyDescent="0.3">
      <c r="A448" t="s">
        <v>917</v>
      </c>
      <c r="B448" t="s">
        <v>918</v>
      </c>
      <c r="C448">
        <v>26.7</v>
      </c>
      <c r="D448">
        <v>5.23</v>
      </c>
      <c r="E448" t="s">
        <v>19</v>
      </c>
      <c r="F448" t="s">
        <v>19</v>
      </c>
      <c r="G448" t="s">
        <v>20</v>
      </c>
      <c r="H448">
        <v>1</v>
      </c>
      <c r="I448" t="s">
        <v>20</v>
      </c>
      <c r="J448" t="s">
        <v>333</v>
      </c>
      <c r="K448" t="s">
        <v>39</v>
      </c>
      <c r="L448" s="1">
        <v>37969</v>
      </c>
      <c r="M448">
        <v>23082.959999999999</v>
      </c>
      <c r="N448" t="s">
        <v>29</v>
      </c>
      <c r="O448" t="s">
        <v>29</v>
      </c>
      <c r="P448" t="s">
        <v>42</v>
      </c>
      <c r="Q448">
        <v>19</v>
      </c>
    </row>
    <row r="449" spans="1:17" x14ac:dyDescent="0.3">
      <c r="A449" t="s">
        <v>919</v>
      </c>
      <c r="B449" t="s">
        <v>920</v>
      </c>
      <c r="C449">
        <v>29.925000000000001</v>
      </c>
      <c r="D449">
        <v>5.96</v>
      </c>
      <c r="E449" t="s">
        <v>32</v>
      </c>
      <c r="F449" t="s">
        <v>19</v>
      </c>
      <c r="G449" t="s">
        <v>20</v>
      </c>
      <c r="H449">
        <v>1</v>
      </c>
      <c r="I449" t="s">
        <v>20</v>
      </c>
      <c r="J449" t="s">
        <v>333</v>
      </c>
      <c r="K449" t="s">
        <v>28</v>
      </c>
      <c r="L449" s="1">
        <v>27646</v>
      </c>
      <c r="M449">
        <v>23065.42</v>
      </c>
      <c r="N449" t="s">
        <v>29</v>
      </c>
      <c r="O449" t="s">
        <v>29</v>
      </c>
      <c r="P449" t="s">
        <v>25</v>
      </c>
      <c r="Q449">
        <v>47</v>
      </c>
    </row>
    <row r="450" spans="1:17" x14ac:dyDescent="0.3">
      <c r="A450" t="s">
        <v>921</v>
      </c>
      <c r="B450" t="s">
        <v>922</v>
      </c>
      <c r="C450">
        <v>19.95</v>
      </c>
      <c r="D450">
        <v>4.29</v>
      </c>
      <c r="E450" t="s">
        <v>32</v>
      </c>
      <c r="F450" t="s">
        <v>19</v>
      </c>
      <c r="G450" t="s">
        <v>19</v>
      </c>
      <c r="H450">
        <v>2</v>
      </c>
      <c r="I450" t="s">
        <v>20</v>
      </c>
      <c r="J450" t="s">
        <v>482</v>
      </c>
      <c r="K450" t="s">
        <v>39</v>
      </c>
      <c r="L450" s="1">
        <v>25881</v>
      </c>
      <c r="M450">
        <v>23045.57</v>
      </c>
      <c r="N450" t="s">
        <v>29</v>
      </c>
      <c r="O450" t="s">
        <v>29</v>
      </c>
      <c r="P450" t="s">
        <v>36</v>
      </c>
      <c r="Q450">
        <v>52</v>
      </c>
    </row>
    <row r="451" spans="1:17" x14ac:dyDescent="0.3">
      <c r="A451" t="s">
        <v>923</v>
      </c>
      <c r="B451" t="s">
        <v>924</v>
      </c>
      <c r="C451">
        <v>24.225000000000001</v>
      </c>
      <c r="D451">
        <v>4.09</v>
      </c>
      <c r="E451" t="s">
        <v>19</v>
      </c>
      <c r="F451" t="s">
        <v>19</v>
      </c>
      <c r="G451" t="s">
        <v>19</v>
      </c>
      <c r="H451">
        <v>0</v>
      </c>
      <c r="I451" t="s">
        <v>19</v>
      </c>
      <c r="J451" t="s">
        <v>482</v>
      </c>
      <c r="K451" t="s">
        <v>39</v>
      </c>
      <c r="L451" s="1">
        <v>37827</v>
      </c>
      <c r="M451">
        <v>22493.66</v>
      </c>
      <c r="N451" t="s">
        <v>29</v>
      </c>
      <c r="O451" t="s">
        <v>23</v>
      </c>
      <c r="P451" t="s">
        <v>33</v>
      </c>
      <c r="Q451">
        <v>19</v>
      </c>
    </row>
    <row r="452" spans="1:17" x14ac:dyDescent="0.3">
      <c r="A452" t="s">
        <v>925</v>
      </c>
      <c r="B452" t="s">
        <v>729</v>
      </c>
      <c r="C452">
        <v>28.12</v>
      </c>
      <c r="D452">
        <v>4.88</v>
      </c>
      <c r="E452" t="s">
        <v>19</v>
      </c>
      <c r="F452" t="s">
        <v>19</v>
      </c>
      <c r="G452" t="s">
        <v>19</v>
      </c>
      <c r="H452">
        <v>0</v>
      </c>
      <c r="I452" t="s">
        <v>20</v>
      </c>
      <c r="J452" t="s">
        <v>333</v>
      </c>
      <c r="K452" t="s">
        <v>39</v>
      </c>
      <c r="L452" s="1">
        <v>29173</v>
      </c>
      <c r="M452">
        <v>22478.6</v>
      </c>
      <c r="N452" t="s">
        <v>24</v>
      </c>
      <c r="O452" t="s">
        <v>29</v>
      </c>
      <c r="P452" t="s">
        <v>42</v>
      </c>
      <c r="Q452">
        <v>43</v>
      </c>
    </row>
    <row r="453" spans="1:17" x14ac:dyDescent="0.3">
      <c r="A453" t="s">
        <v>926</v>
      </c>
      <c r="B453" t="s">
        <v>135</v>
      </c>
      <c r="C453">
        <v>23.21</v>
      </c>
      <c r="D453">
        <v>6.76</v>
      </c>
      <c r="E453" t="s">
        <v>19</v>
      </c>
      <c r="F453" t="s">
        <v>19</v>
      </c>
      <c r="G453" t="s">
        <v>19</v>
      </c>
      <c r="H453">
        <v>0</v>
      </c>
      <c r="I453" t="s">
        <v>20</v>
      </c>
      <c r="J453" t="s">
        <v>482</v>
      </c>
      <c r="K453" t="s">
        <v>22</v>
      </c>
      <c r="L453" s="1">
        <v>30671</v>
      </c>
      <c r="M453">
        <v>22462.04</v>
      </c>
      <c r="N453" t="s">
        <v>24</v>
      </c>
      <c r="O453" t="s">
        <v>23</v>
      </c>
      <c r="P453" t="s">
        <v>361</v>
      </c>
      <c r="Q453">
        <v>39</v>
      </c>
    </row>
    <row r="454" spans="1:17" x14ac:dyDescent="0.3">
      <c r="A454" t="s">
        <v>927</v>
      </c>
      <c r="B454" t="s">
        <v>928</v>
      </c>
      <c r="C454">
        <v>23.98</v>
      </c>
      <c r="D454">
        <v>10.67</v>
      </c>
      <c r="E454" t="s">
        <v>19</v>
      </c>
      <c r="F454" t="s">
        <v>19</v>
      </c>
      <c r="G454" t="s">
        <v>19</v>
      </c>
      <c r="H454">
        <v>0</v>
      </c>
      <c r="I454" t="s">
        <v>19</v>
      </c>
      <c r="J454" t="s">
        <v>482</v>
      </c>
      <c r="K454" t="s">
        <v>22</v>
      </c>
      <c r="L454" s="1">
        <v>24337</v>
      </c>
      <c r="M454">
        <v>22412.65</v>
      </c>
      <c r="N454" t="s">
        <v>24</v>
      </c>
      <c r="O454" t="s">
        <v>24</v>
      </c>
      <c r="P454" t="s">
        <v>261</v>
      </c>
      <c r="Q454">
        <v>56</v>
      </c>
    </row>
    <row r="455" spans="1:17" x14ac:dyDescent="0.3">
      <c r="A455" t="s">
        <v>929</v>
      </c>
      <c r="B455" t="s">
        <v>930</v>
      </c>
      <c r="C455">
        <v>30</v>
      </c>
      <c r="D455">
        <v>6.21</v>
      </c>
      <c r="E455" t="s">
        <v>19</v>
      </c>
      <c r="F455" t="s">
        <v>19</v>
      </c>
      <c r="G455" t="s">
        <v>19</v>
      </c>
      <c r="H455">
        <v>0</v>
      </c>
      <c r="I455" t="s">
        <v>20</v>
      </c>
      <c r="J455" t="s">
        <v>21</v>
      </c>
      <c r="K455" t="s">
        <v>28</v>
      </c>
      <c r="L455" s="1">
        <v>36398</v>
      </c>
      <c r="M455">
        <v>22395.74</v>
      </c>
      <c r="N455" t="s">
        <v>24</v>
      </c>
      <c r="O455" t="s">
        <v>29</v>
      </c>
      <c r="P455" t="s">
        <v>36</v>
      </c>
      <c r="Q455">
        <v>23</v>
      </c>
    </row>
    <row r="456" spans="1:17" x14ac:dyDescent="0.3">
      <c r="A456" t="s">
        <v>931</v>
      </c>
      <c r="B456" t="s">
        <v>932</v>
      </c>
      <c r="C456">
        <v>17.350000000000001</v>
      </c>
      <c r="D456">
        <v>5.03</v>
      </c>
      <c r="E456" t="s">
        <v>32</v>
      </c>
      <c r="F456" t="s">
        <v>19</v>
      </c>
      <c r="G456" t="s">
        <v>19</v>
      </c>
      <c r="H456">
        <v>0</v>
      </c>
      <c r="I456" t="s">
        <v>20</v>
      </c>
      <c r="J456" t="s">
        <v>592</v>
      </c>
      <c r="K456" t="s">
        <v>39</v>
      </c>
      <c r="L456" s="1">
        <v>30312</v>
      </c>
      <c r="M456">
        <v>22331.57</v>
      </c>
      <c r="N456" t="s">
        <v>29</v>
      </c>
      <c r="O456" t="s">
        <v>24</v>
      </c>
      <c r="P456" t="s">
        <v>36</v>
      </c>
      <c r="Q456">
        <v>40</v>
      </c>
    </row>
    <row r="457" spans="1:17" x14ac:dyDescent="0.3">
      <c r="A457" t="s">
        <v>933</v>
      </c>
      <c r="B457" t="s">
        <v>934</v>
      </c>
      <c r="C457">
        <v>22.704999999999998</v>
      </c>
      <c r="D457">
        <v>5.27</v>
      </c>
      <c r="E457" t="s">
        <v>19</v>
      </c>
      <c r="F457" t="s">
        <v>19</v>
      </c>
      <c r="G457" t="s">
        <v>19</v>
      </c>
      <c r="H457">
        <v>0</v>
      </c>
      <c r="I457" t="s">
        <v>19</v>
      </c>
      <c r="J457" t="s">
        <v>482</v>
      </c>
      <c r="K457" t="s">
        <v>39</v>
      </c>
      <c r="L457" s="1">
        <v>26100</v>
      </c>
      <c r="M457">
        <v>22218.11</v>
      </c>
      <c r="N457" t="s">
        <v>29</v>
      </c>
      <c r="O457" t="s">
        <v>24</v>
      </c>
      <c r="P457" t="s">
        <v>25</v>
      </c>
      <c r="Q457">
        <v>51</v>
      </c>
    </row>
    <row r="458" spans="1:17" x14ac:dyDescent="0.3">
      <c r="A458" t="s">
        <v>935</v>
      </c>
      <c r="B458" t="s">
        <v>936</v>
      </c>
      <c r="C458">
        <v>25.41</v>
      </c>
      <c r="D458">
        <v>10.53</v>
      </c>
      <c r="E458" t="s">
        <v>32</v>
      </c>
      <c r="F458" t="s">
        <v>19</v>
      </c>
      <c r="G458" t="s">
        <v>19</v>
      </c>
      <c r="H458">
        <v>1</v>
      </c>
      <c r="I458" t="s">
        <v>20</v>
      </c>
      <c r="J458" t="s">
        <v>333</v>
      </c>
      <c r="K458" t="s">
        <v>22</v>
      </c>
      <c r="L458" s="1">
        <v>23978</v>
      </c>
      <c r="M458">
        <v>22192.44</v>
      </c>
      <c r="N458" t="s">
        <v>24</v>
      </c>
      <c r="O458" t="s">
        <v>23</v>
      </c>
      <c r="P458" t="s">
        <v>25</v>
      </c>
      <c r="Q458">
        <v>57</v>
      </c>
    </row>
    <row r="459" spans="1:17" x14ac:dyDescent="0.3">
      <c r="A459" t="s">
        <v>937</v>
      </c>
      <c r="B459" t="s">
        <v>938</v>
      </c>
      <c r="C459">
        <v>18.23</v>
      </c>
      <c r="D459">
        <v>5.78</v>
      </c>
      <c r="E459" t="s">
        <v>19</v>
      </c>
      <c r="F459" t="s">
        <v>19</v>
      </c>
      <c r="G459" t="s">
        <v>20</v>
      </c>
      <c r="H459">
        <v>1</v>
      </c>
      <c r="I459" t="s">
        <v>20</v>
      </c>
      <c r="J459" t="s">
        <v>592</v>
      </c>
      <c r="K459" t="s">
        <v>28</v>
      </c>
      <c r="L459" s="1">
        <v>29476</v>
      </c>
      <c r="M459">
        <v>22144.03</v>
      </c>
      <c r="N459" t="s">
        <v>29</v>
      </c>
      <c r="O459" t="s">
        <v>29</v>
      </c>
      <c r="P459" t="s">
        <v>42</v>
      </c>
      <c r="Q459">
        <v>42</v>
      </c>
    </row>
    <row r="460" spans="1:17" x14ac:dyDescent="0.3">
      <c r="A460" t="s">
        <v>939</v>
      </c>
      <c r="B460" t="s">
        <v>940</v>
      </c>
      <c r="C460">
        <v>24.7</v>
      </c>
      <c r="D460">
        <v>4.3600000000000003</v>
      </c>
      <c r="E460" t="s">
        <v>19</v>
      </c>
      <c r="F460" t="s">
        <v>19</v>
      </c>
      <c r="G460" t="s">
        <v>20</v>
      </c>
      <c r="H460">
        <v>1</v>
      </c>
      <c r="I460" t="s">
        <v>20</v>
      </c>
      <c r="J460" t="s">
        <v>482</v>
      </c>
      <c r="K460" t="s">
        <v>39</v>
      </c>
      <c r="L460" s="1">
        <v>37131</v>
      </c>
      <c r="M460">
        <v>22097.62</v>
      </c>
      <c r="N460" t="s">
        <v>24</v>
      </c>
      <c r="O460" t="s">
        <v>23</v>
      </c>
      <c r="P460" t="s">
        <v>42</v>
      </c>
      <c r="Q460">
        <v>21</v>
      </c>
    </row>
    <row r="461" spans="1:17" x14ac:dyDescent="0.3">
      <c r="A461" t="s">
        <v>941</v>
      </c>
      <c r="B461" t="s">
        <v>161</v>
      </c>
      <c r="C461">
        <v>37.4</v>
      </c>
      <c r="D461">
        <v>9.7200000000000006</v>
      </c>
      <c r="E461" t="s">
        <v>32</v>
      </c>
      <c r="F461" t="s">
        <v>19</v>
      </c>
      <c r="G461" t="s">
        <v>20</v>
      </c>
      <c r="H461">
        <v>1</v>
      </c>
      <c r="I461" t="s">
        <v>19</v>
      </c>
      <c r="J461" t="s">
        <v>21</v>
      </c>
      <c r="K461" t="s">
        <v>22</v>
      </c>
      <c r="L461" s="1">
        <v>32795</v>
      </c>
      <c r="M461">
        <v>21984.47</v>
      </c>
      <c r="N461" t="s">
        <v>24</v>
      </c>
      <c r="O461" t="s">
        <v>23</v>
      </c>
      <c r="P461" t="s">
        <v>33</v>
      </c>
      <c r="Q461">
        <v>33</v>
      </c>
    </row>
    <row r="462" spans="1:17" x14ac:dyDescent="0.3">
      <c r="A462" t="s">
        <v>942</v>
      </c>
      <c r="B462" t="s">
        <v>623</v>
      </c>
      <c r="C462">
        <v>26.885000000000002</v>
      </c>
      <c r="D462">
        <v>5.18</v>
      </c>
      <c r="E462" t="s">
        <v>19</v>
      </c>
      <c r="F462" t="s">
        <v>19</v>
      </c>
      <c r="G462" t="s">
        <v>20</v>
      </c>
      <c r="H462">
        <v>1</v>
      </c>
      <c r="I462" t="s">
        <v>20</v>
      </c>
      <c r="J462" t="s">
        <v>333</v>
      </c>
      <c r="K462" t="s">
        <v>39</v>
      </c>
      <c r="L462" s="1">
        <v>27747</v>
      </c>
      <c r="M462">
        <v>21978.68</v>
      </c>
      <c r="N462" t="s">
        <v>24</v>
      </c>
      <c r="O462" t="s">
        <v>24</v>
      </c>
      <c r="P462" t="s">
        <v>25</v>
      </c>
      <c r="Q462">
        <v>47</v>
      </c>
    </row>
    <row r="463" spans="1:17" x14ac:dyDescent="0.3">
      <c r="A463" t="s">
        <v>943</v>
      </c>
      <c r="B463" t="s">
        <v>193</v>
      </c>
      <c r="C463">
        <v>25.27</v>
      </c>
      <c r="D463">
        <v>5.29</v>
      </c>
      <c r="E463" t="s">
        <v>19</v>
      </c>
      <c r="F463" t="s">
        <v>19</v>
      </c>
      <c r="G463" t="s">
        <v>20</v>
      </c>
      <c r="H463">
        <v>1</v>
      </c>
      <c r="I463" t="s">
        <v>20</v>
      </c>
      <c r="J463" t="s">
        <v>333</v>
      </c>
      <c r="K463" t="s">
        <v>39</v>
      </c>
      <c r="L463" s="1">
        <v>37892</v>
      </c>
      <c r="M463">
        <v>21882.400000000001</v>
      </c>
      <c r="N463" t="s">
        <v>29</v>
      </c>
      <c r="O463" t="s">
        <v>23</v>
      </c>
      <c r="P463" t="s">
        <v>42</v>
      </c>
      <c r="Q463">
        <v>19</v>
      </c>
    </row>
    <row r="464" spans="1:17" x14ac:dyDescent="0.3">
      <c r="A464" t="s">
        <v>944</v>
      </c>
      <c r="B464" t="s">
        <v>945</v>
      </c>
      <c r="C464">
        <v>23.655000000000001</v>
      </c>
      <c r="D464">
        <v>4.8600000000000003</v>
      </c>
      <c r="E464" t="s">
        <v>32</v>
      </c>
      <c r="F464" t="s">
        <v>19</v>
      </c>
      <c r="G464" t="s">
        <v>19</v>
      </c>
      <c r="H464">
        <v>0</v>
      </c>
      <c r="I464" t="s">
        <v>20</v>
      </c>
      <c r="J464" t="s">
        <v>482</v>
      </c>
      <c r="K464" t="s">
        <v>39</v>
      </c>
      <c r="L464" s="1">
        <v>29084</v>
      </c>
      <c r="M464">
        <v>21880.82</v>
      </c>
      <c r="N464" t="s">
        <v>24</v>
      </c>
      <c r="O464" t="s">
        <v>23</v>
      </c>
      <c r="P464" t="s">
        <v>33</v>
      </c>
      <c r="Q464">
        <v>43</v>
      </c>
    </row>
    <row r="465" spans="1:17" x14ac:dyDescent="0.3">
      <c r="A465" t="s">
        <v>946</v>
      </c>
      <c r="B465" t="s">
        <v>947</v>
      </c>
      <c r="C465">
        <v>55.05</v>
      </c>
      <c r="D465">
        <v>7.66</v>
      </c>
      <c r="E465" t="s">
        <v>19</v>
      </c>
      <c r="F465" t="s">
        <v>19</v>
      </c>
      <c r="G465" t="s">
        <v>19</v>
      </c>
      <c r="H465">
        <v>0</v>
      </c>
      <c r="I465" t="s">
        <v>19</v>
      </c>
      <c r="J465" t="s">
        <v>21</v>
      </c>
      <c r="K465" t="s">
        <v>22</v>
      </c>
      <c r="L465" s="1">
        <v>23250</v>
      </c>
      <c r="M465">
        <v>21797</v>
      </c>
      <c r="N465" t="s">
        <v>24</v>
      </c>
      <c r="O465" t="s">
        <v>23</v>
      </c>
      <c r="P465" t="s">
        <v>42</v>
      </c>
      <c r="Q465">
        <v>59</v>
      </c>
    </row>
    <row r="466" spans="1:17" x14ac:dyDescent="0.3">
      <c r="A466" t="s">
        <v>948</v>
      </c>
      <c r="B466" t="s">
        <v>949</v>
      </c>
      <c r="C466">
        <v>24.89</v>
      </c>
      <c r="D466">
        <v>6.1</v>
      </c>
      <c r="E466" t="s">
        <v>32</v>
      </c>
      <c r="F466" t="s">
        <v>19</v>
      </c>
      <c r="G466" t="s">
        <v>20</v>
      </c>
      <c r="H466">
        <v>1</v>
      </c>
      <c r="I466" t="s">
        <v>20</v>
      </c>
      <c r="J466" t="s">
        <v>482</v>
      </c>
      <c r="K466" t="s">
        <v>28</v>
      </c>
      <c r="L466" s="1">
        <v>29126</v>
      </c>
      <c r="M466">
        <v>21774.32</v>
      </c>
      <c r="N466" t="s">
        <v>24</v>
      </c>
      <c r="O466" t="s">
        <v>29</v>
      </c>
      <c r="P466" t="s">
        <v>33</v>
      </c>
      <c r="Q466">
        <v>43</v>
      </c>
    </row>
    <row r="467" spans="1:17" x14ac:dyDescent="0.3">
      <c r="A467" t="s">
        <v>950</v>
      </c>
      <c r="B467" t="s">
        <v>951</v>
      </c>
      <c r="C467">
        <v>18.715</v>
      </c>
      <c r="D467">
        <v>4.4400000000000004</v>
      </c>
      <c r="E467" t="s">
        <v>19</v>
      </c>
      <c r="F467" t="s">
        <v>19</v>
      </c>
      <c r="G467" t="s">
        <v>19</v>
      </c>
      <c r="H467">
        <v>0</v>
      </c>
      <c r="I467" t="s">
        <v>19</v>
      </c>
      <c r="J467" t="s">
        <v>482</v>
      </c>
      <c r="K467" t="s">
        <v>39</v>
      </c>
      <c r="L467" s="1">
        <v>29118</v>
      </c>
      <c r="M467">
        <v>21771.34</v>
      </c>
      <c r="N467" t="s">
        <v>24</v>
      </c>
      <c r="O467" t="s">
        <v>23</v>
      </c>
      <c r="P467" t="s">
        <v>36</v>
      </c>
      <c r="Q467">
        <v>43</v>
      </c>
    </row>
    <row r="468" spans="1:17" x14ac:dyDescent="0.3">
      <c r="A468" t="s">
        <v>952</v>
      </c>
      <c r="B468" t="s">
        <v>167</v>
      </c>
      <c r="C468">
        <v>28.12</v>
      </c>
      <c r="D468">
        <v>6.15</v>
      </c>
      <c r="E468" t="s">
        <v>19</v>
      </c>
      <c r="F468" t="s">
        <v>19</v>
      </c>
      <c r="G468" t="s">
        <v>19</v>
      </c>
      <c r="H468">
        <v>0</v>
      </c>
      <c r="I468" t="s">
        <v>20</v>
      </c>
      <c r="J468" t="s">
        <v>333</v>
      </c>
      <c r="K468" t="s">
        <v>28</v>
      </c>
      <c r="L468" s="1">
        <v>27959</v>
      </c>
      <c r="M468">
        <v>21677.279999999999</v>
      </c>
      <c r="N468" t="s">
        <v>24</v>
      </c>
      <c r="O468" t="s">
        <v>23</v>
      </c>
      <c r="P468" t="s">
        <v>33</v>
      </c>
      <c r="Q468">
        <v>46</v>
      </c>
    </row>
    <row r="469" spans="1:17" x14ac:dyDescent="0.3">
      <c r="A469" t="s">
        <v>953</v>
      </c>
      <c r="B469" t="s">
        <v>954</v>
      </c>
      <c r="C469">
        <v>26.6</v>
      </c>
      <c r="D469">
        <v>4.53</v>
      </c>
      <c r="E469" t="s">
        <v>19</v>
      </c>
      <c r="F469" t="s">
        <v>19</v>
      </c>
      <c r="G469" t="s">
        <v>19</v>
      </c>
      <c r="H469">
        <v>0</v>
      </c>
      <c r="I469" t="s">
        <v>20</v>
      </c>
      <c r="J469" t="s">
        <v>333</v>
      </c>
      <c r="K469" t="s">
        <v>39</v>
      </c>
      <c r="L469" s="1">
        <v>22966</v>
      </c>
      <c r="M469">
        <v>21661.16</v>
      </c>
      <c r="N469" t="s">
        <v>29</v>
      </c>
      <c r="O469" t="s">
        <v>29</v>
      </c>
      <c r="P469" t="s">
        <v>33</v>
      </c>
      <c r="Q469">
        <v>60</v>
      </c>
    </row>
    <row r="470" spans="1:17" x14ac:dyDescent="0.3">
      <c r="A470" t="s">
        <v>955</v>
      </c>
      <c r="B470" t="s">
        <v>956</v>
      </c>
      <c r="C470">
        <v>30.114999999999998</v>
      </c>
      <c r="D470">
        <v>5.48</v>
      </c>
      <c r="E470" t="s">
        <v>19</v>
      </c>
      <c r="F470" t="s">
        <v>32</v>
      </c>
      <c r="G470" t="s">
        <v>19</v>
      </c>
      <c r="H470">
        <v>1</v>
      </c>
      <c r="I470" t="s">
        <v>19</v>
      </c>
      <c r="J470" t="s">
        <v>21</v>
      </c>
      <c r="K470" t="s">
        <v>39</v>
      </c>
      <c r="L470" s="1">
        <v>30675</v>
      </c>
      <c r="M470">
        <v>21659.93</v>
      </c>
      <c r="N470" t="s">
        <v>24</v>
      </c>
      <c r="O470" t="s">
        <v>24</v>
      </c>
      <c r="P470" t="s">
        <v>36</v>
      </c>
      <c r="Q470">
        <v>39</v>
      </c>
    </row>
    <row r="471" spans="1:17" x14ac:dyDescent="0.3">
      <c r="A471" t="s">
        <v>957</v>
      </c>
      <c r="B471" t="s">
        <v>958</v>
      </c>
      <c r="C471">
        <v>24.605</v>
      </c>
      <c r="D471">
        <v>5.48</v>
      </c>
      <c r="E471" t="s">
        <v>19</v>
      </c>
      <c r="F471" t="s">
        <v>19</v>
      </c>
      <c r="G471" t="s">
        <v>19</v>
      </c>
      <c r="H471">
        <v>0</v>
      </c>
      <c r="I471" t="s">
        <v>20</v>
      </c>
      <c r="J471" t="s">
        <v>482</v>
      </c>
      <c r="K471" t="s">
        <v>39</v>
      </c>
      <c r="L471" s="1">
        <v>36323</v>
      </c>
      <c r="M471">
        <v>21595.38</v>
      </c>
      <c r="N471" t="s">
        <v>29</v>
      </c>
      <c r="O471" t="s">
        <v>24</v>
      </c>
      <c r="P471" t="s">
        <v>33</v>
      </c>
      <c r="Q471">
        <v>23</v>
      </c>
    </row>
    <row r="472" spans="1:17" x14ac:dyDescent="0.3">
      <c r="A472" t="s">
        <v>959</v>
      </c>
      <c r="B472" t="s">
        <v>960</v>
      </c>
      <c r="C472">
        <v>29.6</v>
      </c>
      <c r="D472">
        <v>8.1</v>
      </c>
      <c r="E472" t="s">
        <v>19</v>
      </c>
      <c r="F472" t="s">
        <v>19</v>
      </c>
      <c r="G472" t="s">
        <v>19</v>
      </c>
      <c r="H472">
        <v>0</v>
      </c>
      <c r="I472" t="s">
        <v>19</v>
      </c>
      <c r="J472" t="s">
        <v>333</v>
      </c>
      <c r="K472" t="s">
        <v>22</v>
      </c>
      <c r="L472" s="1">
        <v>33198</v>
      </c>
      <c r="M472">
        <v>21472.48</v>
      </c>
      <c r="N472" t="s">
        <v>29</v>
      </c>
      <c r="O472" t="s">
        <v>29</v>
      </c>
      <c r="P472" t="s">
        <v>33</v>
      </c>
      <c r="Q472">
        <v>32</v>
      </c>
    </row>
    <row r="473" spans="1:17" x14ac:dyDescent="0.3">
      <c r="A473" t="s">
        <v>961</v>
      </c>
      <c r="B473" t="s">
        <v>962</v>
      </c>
      <c r="C473">
        <v>24.42</v>
      </c>
      <c r="D473">
        <v>7.16</v>
      </c>
      <c r="E473" t="s">
        <v>19</v>
      </c>
      <c r="F473" t="s">
        <v>19</v>
      </c>
      <c r="G473" t="s">
        <v>19</v>
      </c>
      <c r="H473">
        <v>0</v>
      </c>
      <c r="I473" t="s">
        <v>20</v>
      </c>
      <c r="J473" t="s">
        <v>482</v>
      </c>
      <c r="K473" t="s">
        <v>22</v>
      </c>
      <c r="L473" s="1">
        <v>29468</v>
      </c>
      <c r="M473">
        <v>21348.71</v>
      </c>
      <c r="N473" t="s">
        <v>29</v>
      </c>
      <c r="O473" t="s">
        <v>23</v>
      </c>
      <c r="P473" t="s">
        <v>33</v>
      </c>
      <c r="Q473">
        <v>42</v>
      </c>
    </row>
    <row r="474" spans="1:17" x14ac:dyDescent="0.3">
      <c r="A474" t="s">
        <v>963</v>
      </c>
      <c r="B474" t="s">
        <v>524</v>
      </c>
      <c r="C474">
        <v>20.9</v>
      </c>
      <c r="D474">
        <v>4.55</v>
      </c>
      <c r="E474" t="s">
        <v>32</v>
      </c>
      <c r="F474" t="s">
        <v>19</v>
      </c>
      <c r="G474" t="s">
        <v>20</v>
      </c>
      <c r="H474">
        <v>1</v>
      </c>
      <c r="I474" t="s">
        <v>20</v>
      </c>
      <c r="J474" t="s">
        <v>482</v>
      </c>
      <c r="K474" t="s">
        <v>39</v>
      </c>
      <c r="L474" s="1">
        <v>38203</v>
      </c>
      <c r="M474">
        <v>21344.85</v>
      </c>
      <c r="N474" t="s">
        <v>24</v>
      </c>
      <c r="O474" t="s">
        <v>23</v>
      </c>
      <c r="P474" t="s">
        <v>36</v>
      </c>
      <c r="Q474">
        <v>18</v>
      </c>
    </row>
    <row r="475" spans="1:17" x14ac:dyDescent="0.3">
      <c r="A475" t="s">
        <v>964</v>
      </c>
      <c r="B475" t="s">
        <v>965</v>
      </c>
      <c r="C475">
        <v>22.895</v>
      </c>
      <c r="D475">
        <v>6.03</v>
      </c>
      <c r="E475" t="s">
        <v>19</v>
      </c>
      <c r="F475" t="s">
        <v>19</v>
      </c>
      <c r="G475" t="s">
        <v>19</v>
      </c>
      <c r="H475">
        <v>0</v>
      </c>
      <c r="I475" t="s">
        <v>20</v>
      </c>
      <c r="J475" t="s">
        <v>482</v>
      </c>
      <c r="K475" t="s">
        <v>28</v>
      </c>
      <c r="L475" s="1">
        <v>29565</v>
      </c>
      <c r="M475">
        <v>21259.38</v>
      </c>
      <c r="N475" t="s">
        <v>24</v>
      </c>
      <c r="O475" t="s">
        <v>24</v>
      </c>
      <c r="P475" t="s">
        <v>361</v>
      </c>
      <c r="Q475">
        <v>42</v>
      </c>
    </row>
    <row r="476" spans="1:17" x14ac:dyDescent="0.3">
      <c r="A476" t="s">
        <v>966</v>
      </c>
      <c r="B476" t="s">
        <v>967</v>
      </c>
      <c r="C476">
        <v>28.3</v>
      </c>
      <c r="D476">
        <v>5.47</v>
      </c>
      <c r="E476" t="s">
        <v>32</v>
      </c>
      <c r="F476" t="s">
        <v>19</v>
      </c>
      <c r="G476" t="s">
        <v>20</v>
      </c>
      <c r="H476">
        <v>1</v>
      </c>
      <c r="I476" t="s">
        <v>20</v>
      </c>
      <c r="J476" t="s">
        <v>333</v>
      </c>
      <c r="K476" t="s">
        <v>39</v>
      </c>
      <c r="L476" s="1">
        <v>27275</v>
      </c>
      <c r="M476">
        <v>21232.18</v>
      </c>
      <c r="N476" t="s">
        <v>24</v>
      </c>
      <c r="O476" t="s">
        <v>29</v>
      </c>
      <c r="P476" t="s">
        <v>42</v>
      </c>
      <c r="Q476">
        <v>48</v>
      </c>
    </row>
    <row r="477" spans="1:17" x14ac:dyDescent="0.3">
      <c r="A477" t="s">
        <v>968</v>
      </c>
      <c r="B477" t="s">
        <v>969</v>
      </c>
      <c r="C477">
        <v>54.3</v>
      </c>
      <c r="D477">
        <v>4.1500000000000004</v>
      </c>
      <c r="E477" t="s">
        <v>32</v>
      </c>
      <c r="F477" t="s">
        <v>19</v>
      </c>
      <c r="G477" t="s">
        <v>19</v>
      </c>
      <c r="H477">
        <v>1</v>
      </c>
      <c r="I477" t="s">
        <v>19</v>
      </c>
      <c r="J477" t="s">
        <v>21</v>
      </c>
      <c r="K477" t="s">
        <v>39</v>
      </c>
      <c r="L477" s="1">
        <v>27316</v>
      </c>
      <c r="M477">
        <v>21223.68</v>
      </c>
      <c r="N477" t="s">
        <v>24</v>
      </c>
      <c r="O477" t="s">
        <v>29</v>
      </c>
      <c r="P477" t="s">
        <v>25</v>
      </c>
      <c r="Q477">
        <v>48</v>
      </c>
    </row>
    <row r="478" spans="1:17" x14ac:dyDescent="0.3">
      <c r="A478" t="s">
        <v>970</v>
      </c>
      <c r="B478" t="s">
        <v>971</v>
      </c>
      <c r="C478">
        <v>33.344999999999999</v>
      </c>
      <c r="D478">
        <v>11.32</v>
      </c>
      <c r="E478" t="s">
        <v>32</v>
      </c>
      <c r="F478" t="s">
        <v>19</v>
      </c>
      <c r="G478" t="s">
        <v>19</v>
      </c>
      <c r="H478">
        <v>1</v>
      </c>
      <c r="I478" t="s">
        <v>19</v>
      </c>
      <c r="J478" t="s">
        <v>21</v>
      </c>
      <c r="K478" t="s">
        <v>22</v>
      </c>
      <c r="L478" s="1">
        <v>25441</v>
      </c>
      <c r="M478">
        <v>21195.82</v>
      </c>
      <c r="N478" t="s">
        <v>24</v>
      </c>
      <c r="O478" t="s">
        <v>23</v>
      </c>
      <c r="P478" t="s">
        <v>25</v>
      </c>
      <c r="Q478">
        <v>53</v>
      </c>
    </row>
    <row r="479" spans="1:17" x14ac:dyDescent="0.3">
      <c r="A479" t="s">
        <v>972</v>
      </c>
      <c r="B479" t="s">
        <v>973</v>
      </c>
      <c r="C479">
        <v>33</v>
      </c>
      <c r="D479">
        <v>9.51</v>
      </c>
      <c r="E479" t="s">
        <v>32</v>
      </c>
      <c r="F479" t="s">
        <v>19</v>
      </c>
      <c r="G479" t="s">
        <v>19</v>
      </c>
      <c r="H479">
        <v>0</v>
      </c>
      <c r="I479" t="s">
        <v>19</v>
      </c>
      <c r="J479" t="s">
        <v>21</v>
      </c>
      <c r="K479" t="s">
        <v>22</v>
      </c>
      <c r="L479" s="1">
        <v>28452</v>
      </c>
      <c r="M479">
        <v>21098.55</v>
      </c>
      <c r="N479" t="s">
        <v>24</v>
      </c>
      <c r="O479" t="s">
        <v>24</v>
      </c>
      <c r="P479" t="s">
        <v>33</v>
      </c>
      <c r="Q479">
        <v>45</v>
      </c>
    </row>
    <row r="480" spans="1:17" x14ac:dyDescent="0.3">
      <c r="A480" t="s">
        <v>974</v>
      </c>
      <c r="B480" t="s">
        <v>975</v>
      </c>
      <c r="C480">
        <v>28.024999999999999</v>
      </c>
      <c r="D480">
        <v>7.67</v>
      </c>
      <c r="E480" t="s">
        <v>32</v>
      </c>
      <c r="F480" t="s">
        <v>19</v>
      </c>
      <c r="G480" t="s">
        <v>19</v>
      </c>
      <c r="H480">
        <v>1</v>
      </c>
      <c r="I480" t="s">
        <v>20</v>
      </c>
      <c r="J480" t="s">
        <v>333</v>
      </c>
      <c r="K480" t="s">
        <v>22</v>
      </c>
      <c r="L480" s="1">
        <v>30499</v>
      </c>
      <c r="M480">
        <v>21082.16</v>
      </c>
      <c r="N480" t="s">
        <v>24</v>
      </c>
      <c r="O480" t="s">
        <v>29</v>
      </c>
      <c r="P480" t="s">
        <v>42</v>
      </c>
      <c r="Q480">
        <v>39</v>
      </c>
    </row>
    <row r="481" spans="1:17" x14ac:dyDescent="0.3">
      <c r="A481" t="s">
        <v>976</v>
      </c>
      <c r="B481" t="s">
        <v>977</v>
      </c>
      <c r="C481">
        <v>28.69</v>
      </c>
      <c r="D481">
        <v>6.23</v>
      </c>
      <c r="E481" t="s">
        <v>19</v>
      </c>
      <c r="F481" t="s">
        <v>19</v>
      </c>
      <c r="G481" t="s">
        <v>19</v>
      </c>
      <c r="H481">
        <v>1</v>
      </c>
      <c r="I481" t="s">
        <v>20</v>
      </c>
      <c r="J481" t="s">
        <v>333</v>
      </c>
      <c r="K481" t="s">
        <v>28</v>
      </c>
      <c r="L481" s="1">
        <v>32108</v>
      </c>
      <c r="M481">
        <v>20984.09</v>
      </c>
      <c r="N481" t="s">
        <v>29</v>
      </c>
      <c r="O481" t="s">
        <v>29</v>
      </c>
      <c r="P481" t="s">
        <v>133</v>
      </c>
      <c r="Q481">
        <v>35</v>
      </c>
    </row>
    <row r="482" spans="1:17" x14ac:dyDescent="0.3">
      <c r="A482" t="s">
        <v>978</v>
      </c>
      <c r="B482" t="s">
        <v>979</v>
      </c>
      <c r="C482">
        <v>40.28</v>
      </c>
      <c r="D482">
        <v>8.9</v>
      </c>
      <c r="E482" t="s">
        <v>19</v>
      </c>
      <c r="F482" t="s">
        <v>19</v>
      </c>
      <c r="G482" t="s">
        <v>19</v>
      </c>
      <c r="H482">
        <v>0</v>
      </c>
      <c r="I482" t="s">
        <v>19</v>
      </c>
      <c r="J482" t="s">
        <v>21</v>
      </c>
      <c r="K482" t="s">
        <v>22</v>
      </c>
      <c r="L482" s="1">
        <v>23700</v>
      </c>
      <c r="M482">
        <v>20893.060000000001</v>
      </c>
      <c r="N482" t="s">
        <v>29</v>
      </c>
      <c r="O482" t="s">
        <v>24</v>
      </c>
      <c r="P482" t="s">
        <v>33</v>
      </c>
      <c r="Q482">
        <v>58</v>
      </c>
    </row>
    <row r="483" spans="1:17" x14ac:dyDescent="0.3">
      <c r="A483" t="s">
        <v>980</v>
      </c>
      <c r="B483" t="s">
        <v>981</v>
      </c>
      <c r="C483">
        <v>37.299999999999997</v>
      </c>
      <c r="D483">
        <v>7.79</v>
      </c>
      <c r="E483" t="s">
        <v>32</v>
      </c>
      <c r="F483" t="s">
        <v>19</v>
      </c>
      <c r="G483" t="s">
        <v>19</v>
      </c>
      <c r="H483">
        <v>0</v>
      </c>
      <c r="I483" t="s">
        <v>19</v>
      </c>
      <c r="J483" t="s">
        <v>21</v>
      </c>
      <c r="K483" t="s">
        <v>22</v>
      </c>
      <c r="L483" s="1">
        <v>27736</v>
      </c>
      <c r="M483">
        <v>20878.78</v>
      </c>
      <c r="N483" t="s">
        <v>29</v>
      </c>
      <c r="O483" t="s">
        <v>23</v>
      </c>
      <c r="P483" t="s">
        <v>36</v>
      </c>
      <c r="Q483">
        <v>47</v>
      </c>
    </row>
    <row r="484" spans="1:17" x14ac:dyDescent="0.3">
      <c r="A484" t="s">
        <v>982</v>
      </c>
      <c r="B484" t="s">
        <v>983</v>
      </c>
      <c r="C484">
        <v>54.47</v>
      </c>
      <c r="D484">
        <v>4.49</v>
      </c>
      <c r="E484" t="s">
        <v>32</v>
      </c>
      <c r="F484" t="s">
        <v>19</v>
      </c>
      <c r="G484" t="s">
        <v>19</v>
      </c>
      <c r="H484">
        <v>2</v>
      </c>
      <c r="I484" t="s">
        <v>19</v>
      </c>
      <c r="J484" t="s">
        <v>21</v>
      </c>
      <c r="K484" t="s">
        <v>39</v>
      </c>
      <c r="L484" s="1">
        <v>24723</v>
      </c>
      <c r="M484">
        <v>20781.490000000002</v>
      </c>
      <c r="N484" t="s">
        <v>29</v>
      </c>
      <c r="O484" t="s">
        <v>24</v>
      </c>
      <c r="P484" t="s">
        <v>25</v>
      </c>
      <c r="Q484">
        <v>55</v>
      </c>
    </row>
    <row r="485" spans="1:17" x14ac:dyDescent="0.3">
      <c r="A485" t="s">
        <v>984</v>
      </c>
      <c r="B485" t="s">
        <v>295</v>
      </c>
      <c r="C485">
        <v>38.06</v>
      </c>
      <c r="D485">
        <v>5.24</v>
      </c>
      <c r="E485" t="s">
        <v>32</v>
      </c>
      <c r="F485" t="s">
        <v>19</v>
      </c>
      <c r="G485" t="s">
        <v>20</v>
      </c>
      <c r="H485">
        <v>1</v>
      </c>
      <c r="I485" t="s">
        <v>19</v>
      </c>
      <c r="J485" t="s">
        <v>21</v>
      </c>
      <c r="K485" t="s">
        <v>39</v>
      </c>
      <c r="L485" s="1">
        <v>31628</v>
      </c>
      <c r="M485">
        <v>20773.63</v>
      </c>
      <c r="N485" t="s">
        <v>29</v>
      </c>
      <c r="O485" t="s">
        <v>24</v>
      </c>
      <c r="P485" t="s">
        <v>206</v>
      </c>
      <c r="Q485">
        <v>36</v>
      </c>
    </row>
    <row r="486" spans="1:17" x14ac:dyDescent="0.3">
      <c r="A486" t="s">
        <v>985</v>
      </c>
      <c r="B486" t="s">
        <v>986</v>
      </c>
      <c r="C486">
        <v>51.47</v>
      </c>
      <c r="D486">
        <v>9.6</v>
      </c>
      <c r="E486" t="s">
        <v>19</v>
      </c>
      <c r="F486" t="s">
        <v>19</v>
      </c>
      <c r="G486" t="s">
        <v>19</v>
      </c>
      <c r="H486">
        <v>0</v>
      </c>
      <c r="I486" t="s">
        <v>19</v>
      </c>
      <c r="J486" t="s">
        <v>21</v>
      </c>
      <c r="K486" t="s">
        <v>22</v>
      </c>
      <c r="L486" s="1">
        <v>33861</v>
      </c>
      <c r="M486">
        <v>20745.990000000002</v>
      </c>
      <c r="N486" t="s">
        <v>24</v>
      </c>
      <c r="O486" t="s">
        <v>23</v>
      </c>
      <c r="P486" t="s">
        <v>33</v>
      </c>
      <c r="Q486">
        <v>30</v>
      </c>
    </row>
    <row r="487" spans="1:17" x14ac:dyDescent="0.3">
      <c r="A487" t="s">
        <v>987</v>
      </c>
      <c r="B487" t="s">
        <v>687</v>
      </c>
      <c r="C487">
        <v>29.8</v>
      </c>
      <c r="D487">
        <v>5.78</v>
      </c>
      <c r="E487" t="s">
        <v>32</v>
      </c>
      <c r="F487" t="s">
        <v>19</v>
      </c>
      <c r="G487" t="s">
        <v>19</v>
      </c>
      <c r="H487">
        <v>0</v>
      </c>
      <c r="I487" t="s">
        <v>19</v>
      </c>
      <c r="J487" t="s">
        <v>333</v>
      </c>
      <c r="K487" t="s">
        <v>28</v>
      </c>
      <c r="L487" s="1">
        <v>23955</v>
      </c>
      <c r="M487">
        <v>20709.02</v>
      </c>
      <c r="N487" t="s">
        <v>24</v>
      </c>
      <c r="O487" t="s">
        <v>29</v>
      </c>
      <c r="P487" t="s">
        <v>361</v>
      </c>
      <c r="Q487">
        <v>57</v>
      </c>
    </row>
    <row r="488" spans="1:17" x14ac:dyDescent="0.3">
      <c r="A488" t="s">
        <v>988</v>
      </c>
      <c r="B488" t="s">
        <v>989</v>
      </c>
      <c r="C488">
        <v>49.77</v>
      </c>
      <c r="D488">
        <v>7.02</v>
      </c>
      <c r="E488" t="s">
        <v>19</v>
      </c>
      <c r="F488" t="s">
        <v>19</v>
      </c>
      <c r="G488" t="s">
        <v>19</v>
      </c>
      <c r="H488">
        <v>0</v>
      </c>
      <c r="I488" t="s">
        <v>19</v>
      </c>
      <c r="J488" t="s">
        <v>21</v>
      </c>
      <c r="K488" t="s">
        <v>22</v>
      </c>
      <c r="L488" s="1">
        <v>24823</v>
      </c>
      <c r="M488">
        <v>20630.28</v>
      </c>
      <c r="N488" t="s">
        <v>29</v>
      </c>
      <c r="O488" t="s">
        <v>24</v>
      </c>
      <c r="P488" t="s">
        <v>42</v>
      </c>
      <c r="Q488">
        <v>55</v>
      </c>
    </row>
    <row r="489" spans="1:17" x14ac:dyDescent="0.3">
      <c r="A489" t="s">
        <v>990</v>
      </c>
      <c r="B489" t="s">
        <v>991</v>
      </c>
      <c r="C489">
        <v>25.555</v>
      </c>
      <c r="D489">
        <v>4.09</v>
      </c>
      <c r="E489" t="s">
        <v>32</v>
      </c>
      <c r="F489" t="s">
        <v>19</v>
      </c>
      <c r="G489" t="s">
        <v>19</v>
      </c>
      <c r="H489">
        <v>0</v>
      </c>
      <c r="I489" t="s">
        <v>20</v>
      </c>
      <c r="J489" t="s">
        <v>333</v>
      </c>
      <c r="K489" t="s">
        <v>39</v>
      </c>
      <c r="L489" s="1">
        <v>24297</v>
      </c>
      <c r="M489">
        <v>20568.32</v>
      </c>
      <c r="N489" t="s">
        <v>24</v>
      </c>
      <c r="O489" t="s">
        <v>29</v>
      </c>
      <c r="P489" t="s">
        <v>33</v>
      </c>
      <c r="Q489">
        <v>56</v>
      </c>
    </row>
    <row r="490" spans="1:17" x14ac:dyDescent="0.3">
      <c r="A490" t="s">
        <v>992</v>
      </c>
      <c r="B490" t="s">
        <v>993</v>
      </c>
      <c r="C490">
        <v>29.64</v>
      </c>
      <c r="D490">
        <v>4.93</v>
      </c>
      <c r="E490" t="s">
        <v>19</v>
      </c>
      <c r="F490" t="s">
        <v>19</v>
      </c>
      <c r="G490" t="s">
        <v>20</v>
      </c>
      <c r="H490">
        <v>1</v>
      </c>
      <c r="I490" t="s">
        <v>19</v>
      </c>
      <c r="J490" t="s">
        <v>333</v>
      </c>
      <c r="K490" t="s">
        <v>39</v>
      </c>
      <c r="L490" s="1">
        <v>25489</v>
      </c>
      <c r="M490">
        <v>20463</v>
      </c>
      <c r="N490" t="s">
        <v>29</v>
      </c>
      <c r="O490" t="s">
        <v>29</v>
      </c>
      <c r="P490" t="s">
        <v>25</v>
      </c>
      <c r="Q490">
        <v>53</v>
      </c>
    </row>
    <row r="491" spans="1:17" x14ac:dyDescent="0.3">
      <c r="A491" t="s">
        <v>994</v>
      </c>
      <c r="B491" t="s">
        <v>995</v>
      </c>
      <c r="C491">
        <v>53.93</v>
      </c>
      <c r="D491">
        <v>5.34</v>
      </c>
      <c r="E491" t="s">
        <v>32</v>
      </c>
      <c r="F491" t="s">
        <v>19</v>
      </c>
      <c r="G491" t="s">
        <v>19</v>
      </c>
      <c r="H491">
        <v>2</v>
      </c>
      <c r="I491" t="s">
        <v>19</v>
      </c>
      <c r="J491" t="s">
        <v>21</v>
      </c>
      <c r="K491" t="s">
        <v>39</v>
      </c>
      <c r="L491" s="1">
        <v>22937</v>
      </c>
      <c r="M491">
        <v>20446.849999999999</v>
      </c>
      <c r="N491" t="s">
        <v>29</v>
      </c>
      <c r="O491" t="s">
        <v>23</v>
      </c>
      <c r="P491" t="s">
        <v>33</v>
      </c>
      <c r="Q491">
        <v>60</v>
      </c>
    </row>
    <row r="492" spans="1:17" x14ac:dyDescent="0.3">
      <c r="A492" t="s">
        <v>996</v>
      </c>
      <c r="B492" t="s">
        <v>997</v>
      </c>
      <c r="C492">
        <v>28.024999999999999</v>
      </c>
      <c r="D492">
        <v>5.65</v>
      </c>
      <c r="E492" t="s">
        <v>19</v>
      </c>
      <c r="F492" t="s">
        <v>19</v>
      </c>
      <c r="G492" t="s">
        <v>19</v>
      </c>
      <c r="H492">
        <v>1</v>
      </c>
      <c r="I492" t="s">
        <v>20</v>
      </c>
      <c r="J492" t="s">
        <v>333</v>
      </c>
      <c r="K492" t="s">
        <v>39</v>
      </c>
      <c r="L492" s="1">
        <v>31240</v>
      </c>
      <c r="M492">
        <v>20420.599999999999</v>
      </c>
      <c r="N492" t="s">
        <v>24</v>
      </c>
      <c r="O492" t="s">
        <v>29</v>
      </c>
      <c r="P492" t="s">
        <v>42</v>
      </c>
      <c r="Q492">
        <v>37</v>
      </c>
    </row>
    <row r="493" spans="1:17" x14ac:dyDescent="0.3">
      <c r="A493" t="s">
        <v>998</v>
      </c>
      <c r="B493" t="s">
        <v>999</v>
      </c>
      <c r="C493">
        <v>27.5</v>
      </c>
      <c r="D493">
        <v>4.49</v>
      </c>
      <c r="E493" t="s">
        <v>19</v>
      </c>
      <c r="F493" t="s">
        <v>19</v>
      </c>
      <c r="G493" t="s">
        <v>19</v>
      </c>
      <c r="H493">
        <v>0</v>
      </c>
      <c r="I493" t="s">
        <v>19</v>
      </c>
      <c r="J493" t="s">
        <v>333</v>
      </c>
      <c r="K493" t="s">
        <v>39</v>
      </c>
      <c r="L493" s="1">
        <v>22829</v>
      </c>
      <c r="M493">
        <v>20354.5</v>
      </c>
      <c r="N493" t="s">
        <v>24</v>
      </c>
      <c r="O493" t="s">
        <v>29</v>
      </c>
      <c r="P493" t="s">
        <v>1000</v>
      </c>
      <c r="Q493">
        <v>60</v>
      </c>
    </row>
    <row r="494" spans="1:17" x14ac:dyDescent="0.3">
      <c r="A494" t="s">
        <v>1001</v>
      </c>
      <c r="B494" t="s">
        <v>1002</v>
      </c>
      <c r="C494">
        <v>21.8</v>
      </c>
      <c r="D494">
        <v>10.55</v>
      </c>
      <c r="E494" t="s">
        <v>19</v>
      </c>
      <c r="F494" t="s">
        <v>19</v>
      </c>
      <c r="G494" t="s">
        <v>19</v>
      </c>
      <c r="H494">
        <v>0</v>
      </c>
      <c r="I494" t="s">
        <v>20</v>
      </c>
      <c r="J494" t="s">
        <v>482</v>
      </c>
      <c r="K494" t="s">
        <v>22</v>
      </c>
      <c r="L494" s="1">
        <v>31307</v>
      </c>
      <c r="M494">
        <v>20296.86</v>
      </c>
      <c r="N494" t="s">
        <v>24</v>
      </c>
      <c r="O494" t="s">
        <v>23</v>
      </c>
      <c r="P494" t="s">
        <v>36</v>
      </c>
      <c r="Q494">
        <v>37</v>
      </c>
    </row>
    <row r="495" spans="1:17" x14ac:dyDescent="0.3">
      <c r="A495" t="s">
        <v>1003</v>
      </c>
      <c r="B495" t="s">
        <v>1004</v>
      </c>
      <c r="C495">
        <v>26.41</v>
      </c>
      <c r="D495">
        <v>4.92</v>
      </c>
      <c r="E495" t="s">
        <v>32</v>
      </c>
      <c r="F495" t="s">
        <v>19</v>
      </c>
      <c r="G495" t="s">
        <v>20</v>
      </c>
      <c r="H495">
        <v>1</v>
      </c>
      <c r="I495" t="s">
        <v>20</v>
      </c>
      <c r="J495" t="s">
        <v>333</v>
      </c>
      <c r="K495" t="s">
        <v>39</v>
      </c>
      <c r="L495" s="1">
        <v>34219</v>
      </c>
      <c r="M495">
        <v>20277.810000000001</v>
      </c>
      <c r="N495" t="s">
        <v>24</v>
      </c>
      <c r="O495" t="s">
        <v>24</v>
      </c>
      <c r="P495" t="s">
        <v>59</v>
      </c>
      <c r="Q495">
        <v>29</v>
      </c>
    </row>
    <row r="496" spans="1:17" x14ac:dyDescent="0.3">
      <c r="A496" t="s">
        <v>1005</v>
      </c>
      <c r="B496" t="s">
        <v>979</v>
      </c>
      <c r="C496">
        <v>27.835000000000001</v>
      </c>
      <c r="D496">
        <v>5.9</v>
      </c>
      <c r="E496" t="s">
        <v>32</v>
      </c>
      <c r="F496" t="s">
        <v>19</v>
      </c>
      <c r="G496" t="s">
        <v>19</v>
      </c>
      <c r="H496">
        <v>1</v>
      </c>
      <c r="I496" t="s">
        <v>20</v>
      </c>
      <c r="J496" t="s">
        <v>333</v>
      </c>
      <c r="K496" t="s">
        <v>28</v>
      </c>
      <c r="L496" s="1">
        <v>24341</v>
      </c>
      <c r="M496">
        <v>20253.84</v>
      </c>
      <c r="N496" t="s">
        <v>29</v>
      </c>
      <c r="O496" t="s">
        <v>24</v>
      </c>
      <c r="P496" t="s">
        <v>33</v>
      </c>
      <c r="Q496">
        <v>56</v>
      </c>
    </row>
    <row r="497" spans="1:17" x14ac:dyDescent="0.3">
      <c r="A497" t="s">
        <v>1006</v>
      </c>
      <c r="B497" t="s">
        <v>1007</v>
      </c>
      <c r="C497">
        <v>51.74</v>
      </c>
      <c r="D497">
        <v>4.9800000000000004</v>
      </c>
      <c r="E497" t="s">
        <v>32</v>
      </c>
      <c r="F497" t="s">
        <v>19</v>
      </c>
      <c r="G497" t="s">
        <v>19</v>
      </c>
      <c r="H497">
        <v>2</v>
      </c>
      <c r="I497" t="s">
        <v>19</v>
      </c>
      <c r="J497" t="s">
        <v>21</v>
      </c>
      <c r="K497" t="s">
        <v>39</v>
      </c>
      <c r="L497" s="1">
        <v>32067</v>
      </c>
      <c r="M497">
        <v>20234.849999999999</v>
      </c>
      <c r="N497" t="s">
        <v>29</v>
      </c>
      <c r="O497" t="s">
        <v>24</v>
      </c>
      <c r="P497" t="s">
        <v>33</v>
      </c>
      <c r="Q497">
        <v>35</v>
      </c>
    </row>
    <row r="498" spans="1:17" x14ac:dyDescent="0.3">
      <c r="A498" t="s">
        <v>1008</v>
      </c>
      <c r="B498" t="s">
        <v>1009</v>
      </c>
      <c r="C498">
        <v>23.37</v>
      </c>
      <c r="D498">
        <v>5.8</v>
      </c>
      <c r="E498" t="s">
        <v>19</v>
      </c>
      <c r="F498" t="s">
        <v>19</v>
      </c>
      <c r="G498" t="s">
        <v>19</v>
      </c>
      <c r="H498">
        <v>0</v>
      </c>
      <c r="I498" t="s">
        <v>20</v>
      </c>
      <c r="J498" t="s">
        <v>482</v>
      </c>
      <c r="K498" t="s">
        <v>28</v>
      </c>
      <c r="L498" s="1">
        <v>34493</v>
      </c>
      <c r="M498">
        <v>20177.669999999998</v>
      </c>
      <c r="N498" t="s">
        <v>29</v>
      </c>
      <c r="O498" t="s">
        <v>23</v>
      </c>
      <c r="P498" t="s">
        <v>42</v>
      </c>
      <c r="Q498">
        <v>29</v>
      </c>
    </row>
    <row r="499" spans="1:17" x14ac:dyDescent="0.3">
      <c r="A499" t="s">
        <v>1010</v>
      </c>
      <c r="B499" t="s">
        <v>1011</v>
      </c>
      <c r="C499">
        <v>29.7</v>
      </c>
      <c r="D499">
        <v>6.21</v>
      </c>
      <c r="E499" t="s">
        <v>32</v>
      </c>
      <c r="F499" t="s">
        <v>19</v>
      </c>
      <c r="G499" t="s">
        <v>20</v>
      </c>
      <c r="H499">
        <v>1</v>
      </c>
      <c r="I499" t="s">
        <v>20</v>
      </c>
      <c r="J499" t="s">
        <v>333</v>
      </c>
      <c r="K499" t="s">
        <v>28</v>
      </c>
      <c r="L499" s="1">
        <v>37446</v>
      </c>
      <c r="M499">
        <v>20167.34</v>
      </c>
      <c r="N499" t="s">
        <v>24</v>
      </c>
      <c r="O499" t="s">
        <v>24</v>
      </c>
      <c r="P499" t="s">
        <v>42</v>
      </c>
      <c r="Q499">
        <v>20</v>
      </c>
    </row>
    <row r="500" spans="1:17" x14ac:dyDescent="0.3">
      <c r="A500" t="s">
        <v>1012</v>
      </c>
      <c r="B500" t="s">
        <v>1013</v>
      </c>
      <c r="C500">
        <v>20.045000000000002</v>
      </c>
      <c r="D500">
        <v>6.17</v>
      </c>
      <c r="E500" t="s">
        <v>19</v>
      </c>
      <c r="F500" t="s">
        <v>19</v>
      </c>
      <c r="G500" t="s">
        <v>20</v>
      </c>
      <c r="H500">
        <v>1</v>
      </c>
      <c r="I500" t="s">
        <v>20</v>
      </c>
      <c r="J500" t="s">
        <v>482</v>
      </c>
      <c r="K500" t="s">
        <v>28</v>
      </c>
      <c r="L500" s="1">
        <v>30595</v>
      </c>
      <c r="M500">
        <v>20149.32</v>
      </c>
      <c r="N500" t="s">
        <v>29</v>
      </c>
      <c r="O500" t="s">
        <v>23</v>
      </c>
      <c r="P500" t="s">
        <v>59</v>
      </c>
      <c r="Q500">
        <v>39</v>
      </c>
    </row>
    <row r="501" spans="1:17" x14ac:dyDescent="0.3">
      <c r="A501" t="s">
        <v>1014</v>
      </c>
      <c r="B501" t="s">
        <v>1015</v>
      </c>
      <c r="C501">
        <v>27.83</v>
      </c>
      <c r="D501">
        <v>5.36</v>
      </c>
      <c r="E501" t="s">
        <v>19</v>
      </c>
      <c r="F501" t="s">
        <v>19</v>
      </c>
      <c r="G501" t="s">
        <v>19</v>
      </c>
      <c r="H501">
        <v>2</v>
      </c>
      <c r="I501" t="s">
        <v>19</v>
      </c>
      <c r="J501" t="s">
        <v>333</v>
      </c>
      <c r="K501" t="s">
        <v>39</v>
      </c>
      <c r="L501" s="1">
        <v>32349</v>
      </c>
      <c r="M501">
        <v>20009.63</v>
      </c>
      <c r="N501" t="s">
        <v>29</v>
      </c>
      <c r="O501" t="s">
        <v>23</v>
      </c>
      <c r="P501" t="s">
        <v>33</v>
      </c>
      <c r="Q501">
        <v>34</v>
      </c>
    </row>
    <row r="502" spans="1:17" x14ac:dyDescent="0.3">
      <c r="A502" t="s">
        <v>1016</v>
      </c>
      <c r="B502" t="s">
        <v>1017</v>
      </c>
      <c r="C502">
        <v>28.93</v>
      </c>
      <c r="D502">
        <v>5.2</v>
      </c>
      <c r="E502" t="s">
        <v>19</v>
      </c>
      <c r="F502" t="s">
        <v>19</v>
      </c>
      <c r="G502" t="s">
        <v>19</v>
      </c>
      <c r="H502">
        <v>0</v>
      </c>
      <c r="I502" t="s">
        <v>20</v>
      </c>
      <c r="J502" t="s">
        <v>333</v>
      </c>
      <c r="K502" t="s">
        <v>39</v>
      </c>
      <c r="L502" s="1">
        <v>24329</v>
      </c>
      <c r="M502">
        <v>19995.29</v>
      </c>
      <c r="N502" t="s">
        <v>23</v>
      </c>
      <c r="O502" t="s">
        <v>24</v>
      </c>
      <c r="P502" t="s">
        <v>1000</v>
      </c>
      <c r="Q502">
        <v>56</v>
      </c>
    </row>
    <row r="503" spans="1:17" x14ac:dyDescent="0.3">
      <c r="A503" t="s">
        <v>1018</v>
      </c>
      <c r="B503" t="s">
        <v>171</v>
      </c>
      <c r="C503">
        <v>33.82</v>
      </c>
      <c r="D503">
        <v>5.42</v>
      </c>
      <c r="E503" t="s">
        <v>19</v>
      </c>
      <c r="F503" t="s">
        <v>19</v>
      </c>
      <c r="G503" t="s">
        <v>19</v>
      </c>
      <c r="H503">
        <v>0</v>
      </c>
      <c r="I503" t="s">
        <v>19</v>
      </c>
      <c r="J503" t="s">
        <v>21</v>
      </c>
      <c r="K503" t="s">
        <v>39</v>
      </c>
      <c r="L503" s="1">
        <v>29503</v>
      </c>
      <c r="M503">
        <v>19964.75</v>
      </c>
      <c r="N503" t="s">
        <v>23</v>
      </c>
      <c r="O503" t="s">
        <v>29</v>
      </c>
      <c r="P503" t="s">
        <v>36</v>
      </c>
      <c r="Q503">
        <v>42</v>
      </c>
    </row>
    <row r="504" spans="1:17" x14ac:dyDescent="0.3">
      <c r="A504" t="s">
        <v>1019</v>
      </c>
      <c r="B504" t="s">
        <v>1020</v>
      </c>
      <c r="C504">
        <v>20.234999999999999</v>
      </c>
      <c r="D504">
        <v>6.84</v>
      </c>
      <c r="E504" t="s">
        <v>19</v>
      </c>
      <c r="F504" t="s">
        <v>19</v>
      </c>
      <c r="G504" t="s">
        <v>19</v>
      </c>
      <c r="H504">
        <v>0</v>
      </c>
      <c r="I504" t="s">
        <v>20</v>
      </c>
      <c r="J504" t="s">
        <v>482</v>
      </c>
      <c r="K504" t="s">
        <v>22</v>
      </c>
      <c r="L504" s="1">
        <v>35721</v>
      </c>
      <c r="M504">
        <v>19933.46</v>
      </c>
      <c r="N504" t="s">
        <v>23</v>
      </c>
      <c r="O504" t="s">
        <v>24</v>
      </c>
      <c r="P504" t="s">
        <v>42</v>
      </c>
      <c r="Q504">
        <v>25</v>
      </c>
    </row>
    <row r="505" spans="1:17" x14ac:dyDescent="0.3">
      <c r="A505" t="s">
        <v>1021</v>
      </c>
      <c r="B505" t="s">
        <v>1022</v>
      </c>
      <c r="C505">
        <v>49.2</v>
      </c>
      <c r="D505">
        <v>10.9</v>
      </c>
      <c r="E505" t="s">
        <v>32</v>
      </c>
      <c r="F505" t="s">
        <v>19</v>
      </c>
      <c r="G505" t="s">
        <v>20</v>
      </c>
      <c r="H505">
        <v>1</v>
      </c>
      <c r="I505" t="s">
        <v>19</v>
      </c>
      <c r="J505" t="s">
        <v>21</v>
      </c>
      <c r="K505" t="s">
        <v>22</v>
      </c>
      <c r="L505" s="1">
        <v>29158</v>
      </c>
      <c r="M505">
        <v>19798.05</v>
      </c>
      <c r="N505" t="s">
        <v>23</v>
      </c>
      <c r="O505" t="s">
        <v>23</v>
      </c>
      <c r="P505" t="s">
        <v>36</v>
      </c>
      <c r="Q505">
        <v>43</v>
      </c>
    </row>
    <row r="506" spans="1:17" x14ac:dyDescent="0.3">
      <c r="A506" t="s">
        <v>1023</v>
      </c>
      <c r="B506" t="s">
        <v>1024</v>
      </c>
      <c r="C506">
        <v>26.4</v>
      </c>
      <c r="D506">
        <v>4.87</v>
      </c>
      <c r="E506" t="s">
        <v>32</v>
      </c>
      <c r="F506" t="s">
        <v>19</v>
      </c>
      <c r="G506" t="s">
        <v>19</v>
      </c>
      <c r="H506">
        <v>0</v>
      </c>
      <c r="I506" t="s">
        <v>20</v>
      </c>
      <c r="J506" t="s">
        <v>333</v>
      </c>
      <c r="K506" t="s">
        <v>39</v>
      </c>
      <c r="L506" s="1">
        <v>26464</v>
      </c>
      <c r="M506">
        <v>19749.38</v>
      </c>
      <c r="N506" t="s">
        <v>23</v>
      </c>
      <c r="O506" t="s">
        <v>24</v>
      </c>
      <c r="P506" t="s">
        <v>25</v>
      </c>
      <c r="Q506">
        <v>50</v>
      </c>
    </row>
    <row r="507" spans="1:17" x14ac:dyDescent="0.3">
      <c r="A507" t="s">
        <v>1025</v>
      </c>
      <c r="B507" t="s">
        <v>1026</v>
      </c>
      <c r="C507">
        <v>28.38</v>
      </c>
      <c r="D507">
        <v>6.07</v>
      </c>
      <c r="E507" t="s">
        <v>19</v>
      </c>
      <c r="F507" t="s">
        <v>19</v>
      </c>
      <c r="G507" t="s">
        <v>19</v>
      </c>
      <c r="H507">
        <v>1</v>
      </c>
      <c r="I507" t="s">
        <v>20</v>
      </c>
      <c r="J507" t="s">
        <v>333</v>
      </c>
      <c r="K507" t="s">
        <v>28</v>
      </c>
      <c r="L507" s="1">
        <v>33093</v>
      </c>
      <c r="M507">
        <v>19719.689999999999</v>
      </c>
      <c r="N507" t="s">
        <v>23</v>
      </c>
      <c r="O507" t="s">
        <v>29</v>
      </c>
      <c r="P507" t="s">
        <v>25</v>
      </c>
      <c r="Q507">
        <v>32</v>
      </c>
    </row>
    <row r="508" spans="1:17" x14ac:dyDescent="0.3">
      <c r="A508" t="s">
        <v>1027</v>
      </c>
      <c r="B508" t="s">
        <v>1028</v>
      </c>
      <c r="C508">
        <v>24.64</v>
      </c>
      <c r="D508">
        <v>4.33</v>
      </c>
      <c r="E508" t="s">
        <v>19</v>
      </c>
      <c r="F508" t="s">
        <v>19</v>
      </c>
      <c r="G508" t="s">
        <v>19</v>
      </c>
      <c r="H508">
        <v>0</v>
      </c>
      <c r="I508" t="s">
        <v>20</v>
      </c>
      <c r="J508" t="s">
        <v>482</v>
      </c>
      <c r="K508" t="s">
        <v>39</v>
      </c>
      <c r="L508" s="1">
        <v>34573</v>
      </c>
      <c r="M508">
        <v>19673.34</v>
      </c>
      <c r="N508" t="s">
        <v>23</v>
      </c>
      <c r="O508" t="s">
        <v>29</v>
      </c>
      <c r="P508" t="s">
        <v>33</v>
      </c>
      <c r="Q508">
        <v>28</v>
      </c>
    </row>
    <row r="509" spans="1:17" x14ac:dyDescent="0.3">
      <c r="A509" t="s">
        <v>1029</v>
      </c>
      <c r="B509" t="s">
        <v>1030</v>
      </c>
      <c r="C509">
        <v>39.71</v>
      </c>
      <c r="D509">
        <v>5.83</v>
      </c>
      <c r="E509" t="s">
        <v>19</v>
      </c>
      <c r="F509" t="s">
        <v>19</v>
      </c>
      <c r="G509" t="s">
        <v>19</v>
      </c>
      <c r="H509">
        <v>1</v>
      </c>
      <c r="I509" t="s">
        <v>19</v>
      </c>
      <c r="J509" t="s">
        <v>21</v>
      </c>
      <c r="K509" t="s">
        <v>28</v>
      </c>
      <c r="L509" s="1">
        <v>28757</v>
      </c>
      <c r="M509">
        <v>19594.810000000001</v>
      </c>
      <c r="N509" t="s">
        <v>23</v>
      </c>
      <c r="O509" t="s">
        <v>23</v>
      </c>
      <c r="P509" t="s">
        <v>36</v>
      </c>
      <c r="Q509">
        <v>44</v>
      </c>
    </row>
    <row r="510" spans="1:17" x14ac:dyDescent="0.3">
      <c r="A510" t="s">
        <v>1031</v>
      </c>
      <c r="B510" t="s">
        <v>1032</v>
      </c>
      <c r="C510">
        <v>22.22</v>
      </c>
      <c r="D510">
        <v>5.5</v>
      </c>
      <c r="E510" t="s">
        <v>19</v>
      </c>
      <c r="F510" t="s">
        <v>19</v>
      </c>
      <c r="G510" t="s">
        <v>19</v>
      </c>
      <c r="H510">
        <v>0</v>
      </c>
      <c r="I510" t="s">
        <v>20</v>
      </c>
      <c r="J510" t="s">
        <v>482</v>
      </c>
      <c r="K510" t="s">
        <v>39</v>
      </c>
      <c r="L510" s="1">
        <v>23206</v>
      </c>
      <c r="M510">
        <v>19551.34</v>
      </c>
      <c r="N510" t="s">
        <v>23</v>
      </c>
      <c r="O510" t="s">
        <v>24</v>
      </c>
      <c r="P510" t="s">
        <v>33</v>
      </c>
      <c r="Q510">
        <v>59</v>
      </c>
    </row>
    <row r="511" spans="1:17" x14ac:dyDescent="0.3">
      <c r="A511" t="s">
        <v>1033</v>
      </c>
      <c r="B511" t="s">
        <v>1034</v>
      </c>
      <c r="C511">
        <v>33.344999999999999</v>
      </c>
      <c r="D511">
        <v>4.79</v>
      </c>
      <c r="E511" t="s">
        <v>19</v>
      </c>
      <c r="F511" t="s">
        <v>19</v>
      </c>
      <c r="G511" t="s">
        <v>20</v>
      </c>
      <c r="H511">
        <v>1</v>
      </c>
      <c r="I511" t="s">
        <v>19</v>
      </c>
      <c r="J511" t="s">
        <v>21</v>
      </c>
      <c r="K511" t="s">
        <v>39</v>
      </c>
      <c r="L511" s="1">
        <v>31307</v>
      </c>
      <c r="M511">
        <v>19539.240000000002</v>
      </c>
      <c r="N511" t="s">
        <v>23</v>
      </c>
      <c r="O511" t="s">
        <v>23</v>
      </c>
      <c r="P511" t="s">
        <v>25</v>
      </c>
      <c r="Q511">
        <v>37</v>
      </c>
    </row>
    <row r="512" spans="1:17" x14ac:dyDescent="0.3">
      <c r="A512" t="s">
        <v>1035</v>
      </c>
      <c r="B512" t="s">
        <v>1036</v>
      </c>
      <c r="C512">
        <v>24.42</v>
      </c>
      <c r="D512">
        <v>5.81</v>
      </c>
      <c r="E512" t="s">
        <v>19</v>
      </c>
      <c r="F512" t="s">
        <v>19</v>
      </c>
      <c r="G512" t="s">
        <v>19</v>
      </c>
      <c r="H512">
        <v>1</v>
      </c>
      <c r="I512" t="s">
        <v>20</v>
      </c>
      <c r="J512" t="s">
        <v>482</v>
      </c>
      <c r="K512" t="s">
        <v>28</v>
      </c>
      <c r="L512" s="1">
        <v>33835</v>
      </c>
      <c r="M512">
        <v>19521.97</v>
      </c>
      <c r="N512" t="s">
        <v>23</v>
      </c>
      <c r="O512" t="s">
        <v>29</v>
      </c>
      <c r="P512" t="s">
        <v>25</v>
      </c>
      <c r="Q512">
        <v>30</v>
      </c>
    </row>
    <row r="513" spans="1:17" x14ac:dyDescent="0.3">
      <c r="A513" t="s">
        <v>1037</v>
      </c>
      <c r="B513" t="s">
        <v>1038</v>
      </c>
      <c r="C513">
        <v>29.81</v>
      </c>
      <c r="D513">
        <v>5.58</v>
      </c>
      <c r="E513" t="s">
        <v>19</v>
      </c>
      <c r="F513" t="s">
        <v>19</v>
      </c>
      <c r="G513" t="s">
        <v>19</v>
      </c>
      <c r="H513">
        <v>0</v>
      </c>
      <c r="I513" t="s">
        <v>20</v>
      </c>
      <c r="J513" t="s">
        <v>333</v>
      </c>
      <c r="K513" t="s">
        <v>39</v>
      </c>
      <c r="L513" s="1">
        <v>29533</v>
      </c>
      <c r="M513">
        <v>19515.54</v>
      </c>
      <c r="N513" t="s">
        <v>23</v>
      </c>
      <c r="O513" t="s">
        <v>23</v>
      </c>
      <c r="P513" t="s">
        <v>25</v>
      </c>
      <c r="Q513">
        <v>42</v>
      </c>
    </row>
    <row r="514" spans="1:17" x14ac:dyDescent="0.3">
      <c r="A514" t="s">
        <v>1039</v>
      </c>
      <c r="B514" t="s">
        <v>1040</v>
      </c>
      <c r="C514">
        <v>51.18</v>
      </c>
      <c r="D514">
        <v>4.4000000000000004</v>
      </c>
      <c r="E514" t="s">
        <v>32</v>
      </c>
      <c r="F514" t="s">
        <v>19</v>
      </c>
      <c r="G514" t="s">
        <v>19</v>
      </c>
      <c r="H514">
        <v>2</v>
      </c>
      <c r="I514" t="s">
        <v>19</v>
      </c>
      <c r="J514" t="s">
        <v>21</v>
      </c>
      <c r="K514" t="s">
        <v>39</v>
      </c>
      <c r="L514" s="1">
        <v>32111</v>
      </c>
      <c r="M514">
        <v>19496.72</v>
      </c>
      <c r="N514" t="s">
        <v>23</v>
      </c>
      <c r="O514" t="s">
        <v>24</v>
      </c>
      <c r="P514" t="s">
        <v>361</v>
      </c>
      <c r="Q514">
        <v>35</v>
      </c>
    </row>
    <row r="515" spans="1:17" x14ac:dyDescent="0.3">
      <c r="A515" t="s">
        <v>1041</v>
      </c>
      <c r="B515" t="s">
        <v>1042</v>
      </c>
      <c r="C515">
        <v>51.37</v>
      </c>
      <c r="D515">
        <v>8.18</v>
      </c>
      <c r="E515" t="s">
        <v>32</v>
      </c>
      <c r="F515" t="s">
        <v>19</v>
      </c>
      <c r="G515" t="s">
        <v>19</v>
      </c>
      <c r="H515">
        <v>0</v>
      </c>
      <c r="I515" t="s">
        <v>19</v>
      </c>
      <c r="J515" t="s">
        <v>21</v>
      </c>
      <c r="K515" t="s">
        <v>22</v>
      </c>
      <c r="L515" s="1">
        <v>30300</v>
      </c>
      <c r="M515">
        <v>19444.27</v>
      </c>
      <c r="N515" t="s">
        <v>23</v>
      </c>
      <c r="O515" t="s">
        <v>23</v>
      </c>
      <c r="P515" t="s">
        <v>25</v>
      </c>
      <c r="Q515">
        <v>40</v>
      </c>
    </row>
    <row r="516" spans="1:17" x14ac:dyDescent="0.3">
      <c r="A516" t="s">
        <v>1043</v>
      </c>
      <c r="B516" t="s">
        <v>1044</v>
      </c>
      <c r="C516">
        <v>36.19</v>
      </c>
      <c r="D516">
        <v>5.52</v>
      </c>
      <c r="E516" t="s">
        <v>32</v>
      </c>
      <c r="F516" t="s">
        <v>19</v>
      </c>
      <c r="G516" t="s">
        <v>19</v>
      </c>
      <c r="H516">
        <v>0</v>
      </c>
      <c r="I516" t="s">
        <v>19</v>
      </c>
      <c r="J516" t="s">
        <v>21</v>
      </c>
      <c r="K516" t="s">
        <v>39</v>
      </c>
      <c r="L516" s="1">
        <v>34218</v>
      </c>
      <c r="M516">
        <v>19442.349999999999</v>
      </c>
      <c r="N516" t="s">
        <v>23</v>
      </c>
      <c r="O516" t="s">
        <v>24</v>
      </c>
      <c r="P516" t="s">
        <v>33</v>
      </c>
      <c r="Q516">
        <v>29</v>
      </c>
    </row>
    <row r="517" spans="1:17" x14ac:dyDescent="0.3">
      <c r="A517" t="s">
        <v>1045</v>
      </c>
      <c r="B517" t="s">
        <v>1046</v>
      </c>
      <c r="C517">
        <v>25.9</v>
      </c>
      <c r="D517">
        <v>4.84</v>
      </c>
      <c r="E517" t="s">
        <v>19</v>
      </c>
      <c r="F517" t="s">
        <v>19</v>
      </c>
      <c r="G517" t="s">
        <v>19</v>
      </c>
      <c r="H517">
        <v>0</v>
      </c>
      <c r="I517" t="s">
        <v>20</v>
      </c>
      <c r="J517" t="s">
        <v>333</v>
      </c>
      <c r="K517" t="s">
        <v>39</v>
      </c>
      <c r="L517" s="1">
        <v>31958</v>
      </c>
      <c r="M517">
        <v>19362</v>
      </c>
      <c r="N517" t="s">
        <v>23</v>
      </c>
      <c r="O517" t="s">
        <v>24</v>
      </c>
      <c r="P517" t="s">
        <v>25</v>
      </c>
      <c r="Q517">
        <v>35</v>
      </c>
    </row>
    <row r="518" spans="1:17" x14ac:dyDescent="0.3">
      <c r="A518" t="s">
        <v>1047</v>
      </c>
      <c r="B518" t="s">
        <v>1048</v>
      </c>
      <c r="C518">
        <v>35.72</v>
      </c>
      <c r="D518">
        <v>4.08</v>
      </c>
      <c r="E518" t="s">
        <v>19</v>
      </c>
      <c r="F518" t="s">
        <v>19</v>
      </c>
      <c r="G518" t="s">
        <v>20</v>
      </c>
      <c r="H518">
        <v>1</v>
      </c>
      <c r="I518" t="s">
        <v>19</v>
      </c>
      <c r="J518" t="s">
        <v>21</v>
      </c>
      <c r="K518" t="s">
        <v>39</v>
      </c>
      <c r="L518" s="1">
        <v>33474</v>
      </c>
      <c r="M518">
        <v>19350.37</v>
      </c>
      <c r="N518" t="s">
        <v>23</v>
      </c>
      <c r="O518" t="s">
        <v>24</v>
      </c>
      <c r="P518" t="s">
        <v>25</v>
      </c>
      <c r="Q518">
        <v>31</v>
      </c>
    </row>
    <row r="519" spans="1:17" x14ac:dyDescent="0.3">
      <c r="A519" t="s">
        <v>1049</v>
      </c>
      <c r="B519" t="s">
        <v>1050</v>
      </c>
      <c r="C519">
        <v>27.94</v>
      </c>
      <c r="D519">
        <v>4.4800000000000004</v>
      </c>
      <c r="E519" t="s">
        <v>19</v>
      </c>
      <c r="F519" t="s">
        <v>19</v>
      </c>
      <c r="G519" t="s">
        <v>20</v>
      </c>
      <c r="H519">
        <v>1</v>
      </c>
      <c r="I519" t="s">
        <v>20</v>
      </c>
      <c r="J519" t="s">
        <v>333</v>
      </c>
      <c r="K519" t="s">
        <v>39</v>
      </c>
      <c r="L519" s="1">
        <v>24426</v>
      </c>
      <c r="M519">
        <v>19321.060000000001</v>
      </c>
      <c r="N519" t="s">
        <v>23</v>
      </c>
      <c r="O519" t="s">
        <v>23</v>
      </c>
      <c r="P519" t="s">
        <v>33</v>
      </c>
      <c r="Q519">
        <v>56</v>
      </c>
    </row>
    <row r="520" spans="1:17" x14ac:dyDescent="0.3">
      <c r="A520" t="s">
        <v>1051</v>
      </c>
      <c r="B520" t="s">
        <v>1052</v>
      </c>
      <c r="C520">
        <v>27.1</v>
      </c>
      <c r="D520">
        <v>5.73</v>
      </c>
      <c r="E520" t="s">
        <v>19</v>
      </c>
      <c r="F520" t="s">
        <v>19</v>
      </c>
      <c r="G520" t="s">
        <v>19</v>
      </c>
      <c r="H520">
        <v>0</v>
      </c>
      <c r="I520" t="s">
        <v>20</v>
      </c>
      <c r="J520" t="s">
        <v>333</v>
      </c>
      <c r="K520" t="s">
        <v>28</v>
      </c>
      <c r="L520" s="1">
        <v>24682</v>
      </c>
      <c r="M520">
        <v>19259.96</v>
      </c>
      <c r="N520" t="s">
        <v>23</v>
      </c>
      <c r="O520" t="s">
        <v>23</v>
      </c>
      <c r="P520" t="s">
        <v>33</v>
      </c>
      <c r="Q520">
        <v>55</v>
      </c>
    </row>
    <row r="521" spans="1:17" x14ac:dyDescent="0.3">
      <c r="A521" t="s">
        <v>1053</v>
      </c>
      <c r="B521" t="s">
        <v>1054</v>
      </c>
      <c r="C521">
        <v>18.3</v>
      </c>
      <c r="D521">
        <v>5.46</v>
      </c>
      <c r="E521" t="s">
        <v>32</v>
      </c>
      <c r="F521" t="s">
        <v>19</v>
      </c>
      <c r="G521" t="s">
        <v>20</v>
      </c>
      <c r="H521">
        <v>1</v>
      </c>
      <c r="I521" t="s">
        <v>20</v>
      </c>
      <c r="J521" t="s">
        <v>592</v>
      </c>
      <c r="K521" t="s">
        <v>39</v>
      </c>
      <c r="L521" s="1">
        <v>31409</v>
      </c>
      <c r="M521">
        <v>19214.71</v>
      </c>
      <c r="N521" t="s">
        <v>23</v>
      </c>
      <c r="O521" t="s">
        <v>24</v>
      </c>
      <c r="P521" t="s">
        <v>25</v>
      </c>
      <c r="Q521">
        <v>37</v>
      </c>
    </row>
    <row r="522" spans="1:17" x14ac:dyDescent="0.3">
      <c r="A522" t="s">
        <v>1055</v>
      </c>
      <c r="B522" t="s">
        <v>1056</v>
      </c>
      <c r="C522">
        <v>25.3</v>
      </c>
      <c r="D522">
        <v>5.0199999999999996</v>
      </c>
      <c r="E522" t="s">
        <v>32</v>
      </c>
      <c r="F522" t="s">
        <v>19</v>
      </c>
      <c r="G522" t="s">
        <v>19</v>
      </c>
      <c r="H522">
        <v>1</v>
      </c>
      <c r="I522" t="s">
        <v>20</v>
      </c>
      <c r="J522" t="s">
        <v>333</v>
      </c>
      <c r="K522" t="s">
        <v>39</v>
      </c>
      <c r="L522" s="1">
        <v>33497</v>
      </c>
      <c r="M522">
        <v>19199.939999999999</v>
      </c>
      <c r="N522" t="s">
        <v>23</v>
      </c>
      <c r="O522" t="s">
        <v>24</v>
      </c>
      <c r="P522" t="s">
        <v>42</v>
      </c>
      <c r="Q522">
        <v>31</v>
      </c>
    </row>
    <row r="523" spans="1:17" x14ac:dyDescent="0.3">
      <c r="A523" t="s">
        <v>1057</v>
      </c>
      <c r="B523" t="s">
        <v>1058</v>
      </c>
      <c r="C523">
        <v>38.83</v>
      </c>
      <c r="D523">
        <v>6.36</v>
      </c>
      <c r="E523" t="s">
        <v>19</v>
      </c>
      <c r="F523" t="s">
        <v>19</v>
      </c>
      <c r="G523" t="s">
        <v>19</v>
      </c>
      <c r="H523">
        <v>1</v>
      </c>
      <c r="I523" t="s">
        <v>19</v>
      </c>
      <c r="J523" t="s">
        <v>21</v>
      </c>
      <c r="K523" t="s">
        <v>28</v>
      </c>
      <c r="L523" s="1">
        <v>29038</v>
      </c>
      <c r="M523">
        <v>19144.580000000002</v>
      </c>
      <c r="N523" t="s">
        <v>23</v>
      </c>
      <c r="O523" t="s">
        <v>23</v>
      </c>
      <c r="P523" t="s">
        <v>36</v>
      </c>
      <c r="Q523">
        <v>43</v>
      </c>
    </row>
    <row r="524" spans="1:17" x14ac:dyDescent="0.3">
      <c r="A524" t="s">
        <v>1059</v>
      </c>
      <c r="B524" t="s">
        <v>1060</v>
      </c>
      <c r="C524">
        <v>27.6</v>
      </c>
      <c r="D524">
        <v>5.36</v>
      </c>
      <c r="E524" t="s">
        <v>19</v>
      </c>
      <c r="F524" t="s">
        <v>19</v>
      </c>
      <c r="G524" t="s">
        <v>19</v>
      </c>
      <c r="H524">
        <v>1</v>
      </c>
      <c r="I524" t="s">
        <v>19</v>
      </c>
      <c r="J524" t="s">
        <v>333</v>
      </c>
      <c r="K524" t="s">
        <v>39</v>
      </c>
      <c r="L524" s="1">
        <v>34240</v>
      </c>
      <c r="M524">
        <v>19107.78</v>
      </c>
      <c r="N524" t="s">
        <v>23</v>
      </c>
      <c r="O524" t="s">
        <v>29</v>
      </c>
      <c r="P524" t="s">
        <v>25</v>
      </c>
      <c r="Q524">
        <v>29</v>
      </c>
    </row>
    <row r="525" spans="1:17" x14ac:dyDescent="0.3">
      <c r="A525" t="s">
        <v>1061</v>
      </c>
      <c r="B525" t="s">
        <v>1062</v>
      </c>
      <c r="C525">
        <v>46.4</v>
      </c>
      <c r="D525">
        <v>8.3699999999999992</v>
      </c>
      <c r="E525" t="s">
        <v>32</v>
      </c>
      <c r="F525" t="s">
        <v>19</v>
      </c>
      <c r="G525" t="s">
        <v>20</v>
      </c>
      <c r="H525">
        <v>1</v>
      </c>
      <c r="I525" t="s">
        <v>19</v>
      </c>
      <c r="J525" t="s">
        <v>21</v>
      </c>
      <c r="K525" t="s">
        <v>22</v>
      </c>
      <c r="L525" s="1">
        <v>32664</v>
      </c>
      <c r="M525">
        <v>19040.88</v>
      </c>
      <c r="N525" t="s">
        <v>23</v>
      </c>
      <c r="O525" t="s">
        <v>24</v>
      </c>
      <c r="P525" t="s">
        <v>42</v>
      </c>
      <c r="Q525">
        <v>34</v>
      </c>
    </row>
    <row r="526" spans="1:17" x14ac:dyDescent="0.3">
      <c r="A526" t="s">
        <v>1063</v>
      </c>
      <c r="B526" t="s">
        <v>1064</v>
      </c>
      <c r="C526">
        <v>51.92</v>
      </c>
      <c r="D526">
        <v>5.18</v>
      </c>
      <c r="E526" t="s">
        <v>32</v>
      </c>
      <c r="F526" t="s">
        <v>19</v>
      </c>
      <c r="G526" t="s">
        <v>20</v>
      </c>
      <c r="H526">
        <v>1</v>
      </c>
      <c r="I526" t="s">
        <v>19</v>
      </c>
      <c r="J526" t="s">
        <v>21</v>
      </c>
      <c r="K526" t="s">
        <v>39</v>
      </c>
      <c r="L526" s="1">
        <v>30669</v>
      </c>
      <c r="M526">
        <v>19023.259999999998</v>
      </c>
      <c r="N526" t="s">
        <v>23</v>
      </c>
      <c r="O526" t="s">
        <v>24</v>
      </c>
      <c r="P526" t="s">
        <v>42</v>
      </c>
      <c r="Q526">
        <v>39</v>
      </c>
    </row>
    <row r="527" spans="1:17" x14ac:dyDescent="0.3">
      <c r="A527" t="s">
        <v>1065</v>
      </c>
      <c r="B527" t="s">
        <v>1066</v>
      </c>
      <c r="C527">
        <v>32.395000000000003</v>
      </c>
      <c r="D527">
        <v>5.68</v>
      </c>
      <c r="E527" t="s">
        <v>32</v>
      </c>
      <c r="F527" t="s">
        <v>19</v>
      </c>
      <c r="G527" t="s">
        <v>19</v>
      </c>
      <c r="H527">
        <v>1</v>
      </c>
      <c r="I527" t="s">
        <v>19</v>
      </c>
      <c r="J527" t="s">
        <v>21</v>
      </c>
      <c r="K527" t="s">
        <v>39</v>
      </c>
      <c r="L527" s="1">
        <v>32440</v>
      </c>
      <c r="M527">
        <v>18972.5</v>
      </c>
      <c r="N527" t="s">
        <v>23</v>
      </c>
      <c r="O527" t="s">
        <v>24</v>
      </c>
      <c r="P527" t="s">
        <v>25</v>
      </c>
      <c r="Q527">
        <v>34</v>
      </c>
    </row>
    <row r="528" spans="1:17" x14ac:dyDescent="0.3">
      <c r="A528" t="s">
        <v>1067</v>
      </c>
      <c r="B528" t="s">
        <v>1068</v>
      </c>
      <c r="C528">
        <v>46.19</v>
      </c>
      <c r="D528">
        <v>7.31</v>
      </c>
      <c r="E528" t="s">
        <v>32</v>
      </c>
      <c r="F528" t="s">
        <v>19</v>
      </c>
      <c r="G528" t="s">
        <v>20</v>
      </c>
      <c r="H528">
        <v>1</v>
      </c>
      <c r="I528" t="s">
        <v>19</v>
      </c>
      <c r="J528" t="s">
        <v>21</v>
      </c>
      <c r="K528" t="s">
        <v>22</v>
      </c>
      <c r="L528" s="1">
        <v>33938</v>
      </c>
      <c r="M528">
        <v>18963.169999999998</v>
      </c>
      <c r="N528" t="s">
        <v>23</v>
      </c>
      <c r="O528" t="s">
        <v>23</v>
      </c>
      <c r="P528" t="s">
        <v>25</v>
      </c>
      <c r="Q528">
        <v>30</v>
      </c>
    </row>
    <row r="529" spans="1:17" x14ac:dyDescent="0.3">
      <c r="A529" t="s">
        <v>1069</v>
      </c>
      <c r="B529" t="s">
        <v>1070</v>
      </c>
      <c r="C529">
        <v>27.93</v>
      </c>
      <c r="D529">
        <v>4.67</v>
      </c>
      <c r="E529" t="s">
        <v>19</v>
      </c>
      <c r="F529" t="s">
        <v>19</v>
      </c>
      <c r="G529" t="s">
        <v>20</v>
      </c>
      <c r="H529">
        <v>1</v>
      </c>
      <c r="I529" t="s">
        <v>19</v>
      </c>
      <c r="J529" t="s">
        <v>333</v>
      </c>
      <c r="K529" t="s">
        <v>39</v>
      </c>
      <c r="L529" s="1">
        <v>36013</v>
      </c>
      <c r="M529">
        <v>18955.22</v>
      </c>
      <c r="N529" t="s">
        <v>23</v>
      </c>
      <c r="O529" t="s">
        <v>24</v>
      </c>
      <c r="P529" t="s">
        <v>42</v>
      </c>
      <c r="Q529">
        <v>24</v>
      </c>
    </row>
    <row r="530" spans="1:17" x14ac:dyDescent="0.3">
      <c r="A530" t="s">
        <v>1071</v>
      </c>
      <c r="B530" t="s">
        <v>1072</v>
      </c>
      <c r="C530">
        <v>45.62</v>
      </c>
      <c r="D530">
        <v>6.87</v>
      </c>
      <c r="E530" t="s">
        <v>19</v>
      </c>
      <c r="F530" t="s">
        <v>19</v>
      </c>
      <c r="G530" t="s">
        <v>19</v>
      </c>
      <c r="H530">
        <v>0</v>
      </c>
      <c r="I530" t="s">
        <v>19</v>
      </c>
      <c r="J530" t="s">
        <v>21</v>
      </c>
      <c r="K530" t="s">
        <v>22</v>
      </c>
      <c r="L530" s="1">
        <v>23304</v>
      </c>
      <c r="M530">
        <v>18954.560000000001</v>
      </c>
      <c r="N530" t="s">
        <v>23</v>
      </c>
      <c r="O530" t="s">
        <v>23</v>
      </c>
      <c r="P530" t="s">
        <v>1000</v>
      </c>
      <c r="Q530">
        <v>59</v>
      </c>
    </row>
    <row r="531" spans="1:17" x14ac:dyDescent="0.3">
      <c r="A531" t="s">
        <v>1073</v>
      </c>
      <c r="B531" t="s">
        <v>1074</v>
      </c>
      <c r="C531">
        <v>35.31</v>
      </c>
      <c r="D531">
        <v>5.87</v>
      </c>
      <c r="E531" t="s">
        <v>19</v>
      </c>
      <c r="F531" t="s">
        <v>19</v>
      </c>
      <c r="G531" t="s">
        <v>20</v>
      </c>
      <c r="H531">
        <v>1</v>
      </c>
      <c r="I531" t="s">
        <v>19</v>
      </c>
      <c r="J531" t="s">
        <v>21</v>
      </c>
      <c r="K531" t="s">
        <v>28</v>
      </c>
      <c r="L531" s="1">
        <v>25418</v>
      </c>
      <c r="M531">
        <v>18932.810000000001</v>
      </c>
      <c r="N531" t="s">
        <v>23</v>
      </c>
      <c r="O531" t="s">
        <v>24</v>
      </c>
      <c r="P531" t="s">
        <v>33</v>
      </c>
      <c r="Q531">
        <v>53</v>
      </c>
    </row>
    <row r="532" spans="1:17" x14ac:dyDescent="0.3">
      <c r="A532" t="s">
        <v>1075</v>
      </c>
      <c r="B532" t="s">
        <v>1076</v>
      </c>
      <c r="C532">
        <v>30.4</v>
      </c>
      <c r="D532">
        <v>4.07</v>
      </c>
      <c r="E532" t="s">
        <v>32</v>
      </c>
      <c r="F532" t="s">
        <v>19</v>
      </c>
      <c r="G532" t="s">
        <v>19</v>
      </c>
      <c r="H532">
        <v>1</v>
      </c>
      <c r="I532" t="s">
        <v>19</v>
      </c>
      <c r="J532" t="s">
        <v>21</v>
      </c>
      <c r="K532" t="s">
        <v>39</v>
      </c>
      <c r="L532" s="1">
        <v>34969</v>
      </c>
      <c r="M532">
        <v>18903.490000000002</v>
      </c>
      <c r="N532" t="s">
        <v>23</v>
      </c>
      <c r="O532" t="s">
        <v>29</v>
      </c>
      <c r="P532" t="s">
        <v>36</v>
      </c>
      <c r="Q532">
        <v>27</v>
      </c>
    </row>
    <row r="533" spans="1:17" x14ac:dyDescent="0.3">
      <c r="A533" t="s">
        <v>1077</v>
      </c>
      <c r="B533" t="s">
        <v>1078</v>
      </c>
      <c r="C533">
        <v>20.13</v>
      </c>
      <c r="D533">
        <v>6.47</v>
      </c>
      <c r="E533" t="s">
        <v>19</v>
      </c>
      <c r="F533" t="s">
        <v>19</v>
      </c>
      <c r="G533" t="s">
        <v>20</v>
      </c>
      <c r="H533">
        <v>1</v>
      </c>
      <c r="I533" t="s">
        <v>20</v>
      </c>
      <c r="J533" t="s">
        <v>482</v>
      </c>
      <c r="K533" t="s">
        <v>28</v>
      </c>
      <c r="L533" s="1">
        <v>23351</v>
      </c>
      <c r="M533">
        <v>18883.330000000002</v>
      </c>
      <c r="N533" t="s">
        <v>23</v>
      </c>
      <c r="O533" t="s">
        <v>23</v>
      </c>
      <c r="P533" t="s">
        <v>1000</v>
      </c>
      <c r="Q533">
        <v>59</v>
      </c>
    </row>
    <row r="534" spans="1:17" x14ac:dyDescent="0.3">
      <c r="A534" t="s">
        <v>1079</v>
      </c>
      <c r="B534" t="s">
        <v>1080</v>
      </c>
      <c r="C534">
        <v>23.655000000000001</v>
      </c>
      <c r="D534">
        <v>5.14</v>
      </c>
      <c r="E534" t="s">
        <v>19</v>
      </c>
      <c r="F534" t="s">
        <v>19</v>
      </c>
      <c r="G534" t="s">
        <v>19</v>
      </c>
      <c r="H534">
        <v>1</v>
      </c>
      <c r="I534" t="s">
        <v>20</v>
      </c>
      <c r="J534" t="s">
        <v>482</v>
      </c>
      <c r="K534" t="s">
        <v>39</v>
      </c>
      <c r="L534" s="1">
        <v>37826</v>
      </c>
      <c r="M534">
        <v>18838.7</v>
      </c>
      <c r="N534" t="s">
        <v>23</v>
      </c>
      <c r="O534" t="s">
        <v>24</v>
      </c>
      <c r="P534" t="s">
        <v>33</v>
      </c>
      <c r="Q534">
        <v>19</v>
      </c>
    </row>
    <row r="535" spans="1:17" x14ac:dyDescent="0.3">
      <c r="A535" t="s">
        <v>1081</v>
      </c>
      <c r="B535" t="s">
        <v>1082</v>
      </c>
      <c r="C535">
        <v>49.05</v>
      </c>
      <c r="D535">
        <v>9.77</v>
      </c>
      <c r="E535" t="s">
        <v>32</v>
      </c>
      <c r="F535" t="s">
        <v>19</v>
      </c>
      <c r="G535" t="s">
        <v>19</v>
      </c>
      <c r="H535">
        <v>0</v>
      </c>
      <c r="I535" t="s">
        <v>19</v>
      </c>
      <c r="J535" t="s">
        <v>21</v>
      </c>
      <c r="K535" t="s">
        <v>22</v>
      </c>
      <c r="L535" s="1">
        <v>22998</v>
      </c>
      <c r="M535">
        <v>18815.53</v>
      </c>
      <c r="N535" t="s">
        <v>23</v>
      </c>
      <c r="O535" t="s">
        <v>23</v>
      </c>
      <c r="P535" t="s">
        <v>354</v>
      </c>
      <c r="Q535">
        <v>60</v>
      </c>
    </row>
    <row r="536" spans="1:17" x14ac:dyDescent="0.3">
      <c r="A536" t="s">
        <v>1083</v>
      </c>
      <c r="B536" t="s">
        <v>1084</v>
      </c>
      <c r="C536">
        <v>51.94</v>
      </c>
      <c r="D536">
        <v>8.8000000000000007</v>
      </c>
      <c r="E536" t="s">
        <v>32</v>
      </c>
      <c r="F536" t="s">
        <v>19</v>
      </c>
      <c r="G536" t="s">
        <v>19</v>
      </c>
      <c r="H536">
        <v>2</v>
      </c>
      <c r="I536" t="s">
        <v>19</v>
      </c>
      <c r="J536" t="s">
        <v>21</v>
      </c>
      <c r="K536" t="s">
        <v>22</v>
      </c>
      <c r="L536" s="1">
        <v>29143</v>
      </c>
      <c r="M536">
        <v>18806.150000000001</v>
      </c>
      <c r="N536" t="s">
        <v>23</v>
      </c>
      <c r="O536" t="s">
        <v>29</v>
      </c>
      <c r="P536" t="s">
        <v>25</v>
      </c>
      <c r="Q536">
        <v>43</v>
      </c>
    </row>
    <row r="537" spans="1:17" x14ac:dyDescent="0.3">
      <c r="A537" t="s">
        <v>1085</v>
      </c>
      <c r="B537" t="s">
        <v>171</v>
      </c>
      <c r="C537">
        <v>29.83</v>
      </c>
      <c r="D537">
        <v>5.84</v>
      </c>
      <c r="E537" t="s">
        <v>19</v>
      </c>
      <c r="F537" t="s">
        <v>19</v>
      </c>
      <c r="G537" t="s">
        <v>19</v>
      </c>
      <c r="H537">
        <v>1</v>
      </c>
      <c r="I537" t="s">
        <v>20</v>
      </c>
      <c r="J537" t="s">
        <v>333</v>
      </c>
      <c r="K537" t="s">
        <v>28</v>
      </c>
      <c r="L537" s="1">
        <v>35031</v>
      </c>
      <c r="M537">
        <v>18804.75</v>
      </c>
      <c r="N537" t="s">
        <v>23</v>
      </c>
      <c r="O537" t="s">
        <v>23</v>
      </c>
      <c r="P537" t="s">
        <v>33</v>
      </c>
      <c r="Q537">
        <v>27</v>
      </c>
    </row>
    <row r="538" spans="1:17" x14ac:dyDescent="0.3">
      <c r="A538" t="s">
        <v>1086</v>
      </c>
      <c r="B538" t="s">
        <v>1087</v>
      </c>
      <c r="C538">
        <v>22.6</v>
      </c>
      <c r="D538">
        <v>10.43</v>
      </c>
      <c r="E538" t="s">
        <v>32</v>
      </c>
      <c r="F538" t="s">
        <v>19</v>
      </c>
      <c r="G538" t="s">
        <v>19</v>
      </c>
      <c r="H538">
        <v>1</v>
      </c>
      <c r="I538" t="s">
        <v>20</v>
      </c>
      <c r="J538" t="s">
        <v>482</v>
      </c>
      <c r="K538" t="s">
        <v>22</v>
      </c>
      <c r="L538" s="1">
        <v>29178</v>
      </c>
      <c r="M538">
        <v>18767.740000000002</v>
      </c>
      <c r="N538" t="s">
        <v>23</v>
      </c>
      <c r="O538" t="s">
        <v>23</v>
      </c>
      <c r="P538" t="s">
        <v>25</v>
      </c>
      <c r="Q538">
        <v>43</v>
      </c>
    </row>
    <row r="539" spans="1:17" x14ac:dyDescent="0.3">
      <c r="A539" t="s">
        <v>1088</v>
      </c>
      <c r="B539" t="s">
        <v>1089</v>
      </c>
      <c r="C539">
        <v>46.69</v>
      </c>
      <c r="D539">
        <v>4.25</v>
      </c>
      <c r="E539" t="s">
        <v>32</v>
      </c>
      <c r="F539" t="s">
        <v>19</v>
      </c>
      <c r="G539" t="s">
        <v>19</v>
      </c>
      <c r="H539">
        <v>1</v>
      </c>
      <c r="I539" t="s">
        <v>19</v>
      </c>
      <c r="J539" t="s">
        <v>21</v>
      </c>
      <c r="K539" t="s">
        <v>39</v>
      </c>
      <c r="L539" s="1">
        <v>33965</v>
      </c>
      <c r="M539">
        <v>18765.88</v>
      </c>
      <c r="N539" t="s">
        <v>23</v>
      </c>
      <c r="O539" t="s">
        <v>29</v>
      </c>
      <c r="P539" t="s">
        <v>33</v>
      </c>
      <c r="Q539">
        <v>30</v>
      </c>
    </row>
    <row r="540" spans="1:17" x14ac:dyDescent="0.3">
      <c r="A540" t="s">
        <v>1090</v>
      </c>
      <c r="B540" t="s">
        <v>1091</v>
      </c>
      <c r="C540">
        <v>28.49</v>
      </c>
      <c r="D540">
        <v>4.8899999999999997</v>
      </c>
      <c r="E540" t="s">
        <v>19</v>
      </c>
      <c r="F540" t="s">
        <v>19</v>
      </c>
      <c r="G540" t="s">
        <v>19</v>
      </c>
      <c r="H540">
        <v>0</v>
      </c>
      <c r="I540" t="s">
        <v>20</v>
      </c>
      <c r="J540" t="s">
        <v>333</v>
      </c>
      <c r="K540" t="s">
        <v>39</v>
      </c>
      <c r="L540" s="1">
        <v>24714</v>
      </c>
      <c r="M540">
        <v>18694.689999999999</v>
      </c>
      <c r="N540" t="s">
        <v>23</v>
      </c>
      <c r="O540" t="s">
        <v>23</v>
      </c>
      <c r="P540" t="s">
        <v>354</v>
      </c>
      <c r="Q540">
        <v>55</v>
      </c>
    </row>
    <row r="541" spans="1:17" x14ac:dyDescent="0.3">
      <c r="A541" t="s">
        <v>1092</v>
      </c>
      <c r="B541" t="s">
        <v>1093</v>
      </c>
      <c r="C541">
        <v>28.5</v>
      </c>
      <c r="D541">
        <v>5.55</v>
      </c>
      <c r="E541" t="s">
        <v>32</v>
      </c>
      <c r="F541" t="s">
        <v>19</v>
      </c>
      <c r="G541" t="s">
        <v>19</v>
      </c>
      <c r="H541">
        <v>1</v>
      </c>
      <c r="I541" t="s">
        <v>20</v>
      </c>
      <c r="J541" t="s">
        <v>333</v>
      </c>
      <c r="K541" t="s">
        <v>39</v>
      </c>
      <c r="L541" s="1">
        <v>25858</v>
      </c>
      <c r="M541">
        <v>18682.740000000002</v>
      </c>
      <c r="N541" t="s">
        <v>23</v>
      </c>
      <c r="O541" t="s">
        <v>24</v>
      </c>
      <c r="P541" t="s">
        <v>33</v>
      </c>
      <c r="Q541">
        <v>52</v>
      </c>
    </row>
    <row r="542" spans="1:17" x14ac:dyDescent="0.3">
      <c r="A542" t="s">
        <v>1094</v>
      </c>
      <c r="B542" t="s">
        <v>1095</v>
      </c>
      <c r="C542">
        <v>24.4</v>
      </c>
      <c r="D542">
        <v>4.5199999999999996</v>
      </c>
      <c r="E542" t="s">
        <v>19</v>
      </c>
      <c r="F542" t="s">
        <v>19</v>
      </c>
      <c r="G542" t="s">
        <v>19</v>
      </c>
      <c r="H542">
        <v>1</v>
      </c>
      <c r="I542" t="s">
        <v>20</v>
      </c>
      <c r="J542" t="s">
        <v>482</v>
      </c>
      <c r="K542" t="s">
        <v>39</v>
      </c>
      <c r="L542" s="1">
        <v>36061</v>
      </c>
      <c r="M542">
        <v>18648.419999999998</v>
      </c>
      <c r="N542" t="s">
        <v>23</v>
      </c>
      <c r="O542" t="s">
        <v>23</v>
      </c>
      <c r="P542" t="s">
        <v>361</v>
      </c>
      <c r="Q542">
        <v>24</v>
      </c>
    </row>
    <row r="543" spans="1:17" x14ac:dyDescent="0.3">
      <c r="A543" t="s">
        <v>1096</v>
      </c>
      <c r="B543" t="s">
        <v>1097</v>
      </c>
      <c r="C543">
        <v>29.15</v>
      </c>
      <c r="D543">
        <v>4.45</v>
      </c>
      <c r="E543" t="s">
        <v>32</v>
      </c>
      <c r="F543" t="s">
        <v>19</v>
      </c>
      <c r="G543" t="s">
        <v>19</v>
      </c>
      <c r="H543">
        <v>1</v>
      </c>
      <c r="I543" t="s">
        <v>20</v>
      </c>
      <c r="J543" t="s">
        <v>333</v>
      </c>
      <c r="K543" t="s">
        <v>39</v>
      </c>
      <c r="L543" s="1">
        <v>31636</v>
      </c>
      <c r="M543">
        <v>18608.259999999998</v>
      </c>
      <c r="N543" t="s">
        <v>23</v>
      </c>
      <c r="O543" t="s">
        <v>24</v>
      </c>
      <c r="P543" t="s">
        <v>42</v>
      </c>
      <c r="Q543">
        <v>36</v>
      </c>
    </row>
    <row r="544" spans="1:17" x14ac:dyDescent="0.3">
      <c r="A544" t="s">
        <v>1098</v>
      </c>
      <c r="B544" t="s">
        <v>1099</v>
      </c>
      <c r="C544">
        <v>27.28</v>
      </c>
      <c r="D544">
        <v>4.72</v>
      </c>
      <c r="E544" t="s">
        <v>19</v>
      </c>
      <c r="F544" t="s">
        <v>32</v>
      </c>
      <c r="G544" t="s">
        <v>19</v>
      </c>
      <c r="H544">
        <v>1</v>
      </c>
      <c r="I544" t="s">
        <v>20</v>
      </c>
      <c r="J544" t="s">
        <v>333</v>
      </c>
      <c r="K544" t="s">
        <v>39</v>
      </c>
      <c r="L544" s="1">
        <v>23646</v>
      </c>
      <c r="M544">
        <v>18443.11</v>
      </c>
      <c r="N544" t="s">
        <v>23</v>
      </c>
      <c r="O544" t="s">
        <v>29</v>
      </c>
      <c r="P544" t="s">
        <v>33</v>
      </c>
      <c r="Q544">
        <v>58</v>
      </c>
    </row>
    <row r="545" spans="1:17" x14ac:dyDescent="0.3">
      <c r="A545" t="s">
        <v>1100</v>
      </c>
      <c r="B545" t="s">
        <v>1101</v>
      </c>
      <c r="C545">
        <v>32.229999999999997</v>
      </c>
      <c r="D545">
        <v>4.6500000000000004</v>
      </c>
      <c r="E545" t="s">
        <v>32</v>
      </c>
      <c r="F545" t="s">
        <v>19</v>
      </c>
      <c r="G545" t="s">
        <v>20</v>
      </c>
      <c r="H545">
        <v>1</v>
      </c>
      <c r="I545" t="s">
        <v>19</v>
      </c>
      <c r="J545" t="s">
        <v>21</v>
      </c>
      <c r="K545" t="s">
        <v>39</v>
      </c>
      <c r="L545" s="1">
        <v>36509</v>
      </c>
      <c r="M545">
        <v>18328.240000000002</v>
      </c>
      <c r="N545" t="s">
        <v>23</v>
      </c>
      <c r="O545" t="s">
        <v>29</v>
      </c>
      <c r="P545" t="s">
        <v>25</v>
      </c>
      <c r="Q545">
        <v>23</v>
      </c>
    </row>
    <row r="546" spans="1:17" x14ac:dyDescent="0.3">
      <c r="A546" t="s">
        <v>1102</v>
      </c>
      <c r="B546" t="s">
        <v>1103</v>
      </c>
      <c r="C546">
        <v>44.2</v>
      </c>
      <c r="D546">
        <v>11.34</v>
      </c>
      <c r="E546" t="s">
        <v>32</v>
      </c>
      <c r="F546" t="s">
        <v>19</v>
      </c>
      <c r="G546" t="s">
        <v>20</v>
      </c>
      <c r="H546">
        <v>1</v>
      </c>
      <c r="I546" t="s">
        <v>19</v>
      </c>
      <c r="J546" t="s">
        <v>21</v>
      </c>
      <c r="K546" t="s">
        <v>22</v>
      </c>
      <c r="L546" s="1">
        <v>34884</v>
      </c>
      <c r="M546">
        <v>18310.740000000002</v>
      </c>
      <c r="N546" t="s">
        <v>23</v>
      </c>
      <c r="O546" t="s">
        <v>24</v>
      </c>
      <c r="P546" t="s">
        <v>33</v>
      </c>
      <c r="Q546">
        <v>27</v>
      </c>
    </row>
    <row r="547" spans="1:17" x14ac:dyDescent="0.3">
      <c r="A547" t="s">
        <v>1104</v>
      </c>
      <c r="B547" t="s">
        <v>1105</v>
      </c>
      <c r="C547">
        <v>29.734999999999999</v>
      </c>
      <c r="D547">
        <v>4.53</v>
      </c>
      <c r="E547" t="s">
        <v>19</v>
      </c>
      <c r="F547" t="s">
        <v>19</v>
      </c>
      <c r="G547" t="s">
        <v>20</v>
      </c>
      <c r="H547">
        <v>1</v>
      </c>
      <c r="I547" t="s">
        <v>19</v>
      </c>
      <c r="J547" t="s">
        <v>333</v>
      </c>
      <c r="K547" t="s">
        <v>39</v>
      </c>
      <c r="L547" s="1">
        <v>33963</v>
      </c>
      <c r="M547">
        <v>18259.22</v>
      </c>
      <c r="N547" t="s">
        <v>23</v>
      </c>
      <c r="O547" t="s">
        <v>24</v>
      </c>
      <c r="P547" t="s">
        <v>42</v>
      </c>
      <c r="Q547">
        <v>30</v>
      </c>
    </row>
    <row r="548" spans="1:17" x14ac:dyDescent="0.3">
      <c r="A548" t="s">
        <v>1106</v>
      </c>
      <c r="B548" t="s">
        <v>1107</v>
      </c>
      <c r="C548">
        <v>28.31</v>
      </c>
      <c r="D548">
        <v>6.35</v>
      </c>
      <c r="E548" t="s">
        <v>19</v>
      </c>
      <c r="F548" t="s">
        <v>19</v>
      </c>
      <c r="G548" t="s">
        <v>19</v>
      </c>
      <c r="H548">
        <v>0</v>
      </c>
      <c r="I548" t="s">
        <v>20</v>
      </c>
      <c r="J548" t="s">
        <v>333</v>
      </c>
      <c r="K548" t="s">
        <v>28</v>
      </c>
      <c r="L548" s="1">
        <v>34914</v>
      </c>
      <c r="M548">
        <v>18246.5</v>
      </c>
      <c r="N548" t="s">
        <v>23</v>
      </c>
      <c r="O548" t="s">
        <v>23</v>
      </c>
      <c r="P548" t="s">
        <v>25</v>
      </c>
      <c r="Q548">
        <v>27</v>
      </c>
    </row>
    <row r="549" spans="1:17" x14ac:dyDescent="0.3">
      <c r="A549" t="s">
        <v>1108</v>
      </c>
      <c r="B549" t="s">
        <v>1109</v>
      </c>
      <c r="C549">
        <v>46.62</v>
      </c>
      <c r="D549">
        <v>8.51</v>
      </c>
      <c r="E549" t="s">
        <v>19</v>
      </c>
      <c r="F549" t="s">
        <v>19</v>
      </c>
      <c r="G549" t="s">
        <v>19</v>
      </c>
      <c r="H549">
        <v>0</v>
      </c>
      <c r="I549" t="s">
        <v>19</v>
      </c>
      <c r="J549" t="s">
        <v>21</v>
      </c>
      <c r="K549" t="s">
        <v>22</v>
      </c>
      <c r="L549" s="1">
        <v>38240</v>
      </c>
      <c r="M549">
        <v>18223.45</v>
      </c>
      <c r="N549" t="s">
        <v>23</v>
      </c>
      <c r="O549" t="s">
        <v>24</v>
      </c>
      <c r="P549" t="s">
        <v>25</v>
      </c>
      <c r="Q549">
        <v>18</v>
      </c>
    </row>
    <row r="550" spans="1:17" x14ac:dyDescent="0.3">
      <c r="A550" t="s">
        <v>1110</v>
      </c>
      <c r="B550" t="s">
        <v>1111</v>
      </c>
      <c r="C550">
        <v>51.75</v>
      </c>
      <c r="D550">
        <v>8.59</v>
      </c>
      <c r="E550" t="s">
        <v>32</v>
      </c>
      <c r="F550" t="s">
        <v>19</v>
      </c>
      <c r="G550" t="s">
        <v>19</v>
      </c>
      <c r="H550">
        <v>1</v>
      </c>
      <c r="I550" t="s">
        <v>19</v>
      </c>
      <c r="J550" t="s">
        <v>21</v>
      </c>
      <c r="K550" t="s">
        <v>22</v>
      </c>
      <c r="L550" s="1">
        <v>35596</v>
      </c>
      <c r="M550">
        <v>18218.16</v>
      </c>
      <c r="N550" t="s">
        <v>23</v>
      </c>
      <c r="O550" t="s">
        <v>23</v>
      </c>
      <c r="P550" t="s">
        <v>25</v>
      </c>
      <c r="Q550">
        <v>25</v>
      </c>
    </row>
    <row r="551" spans="1:17" x14ac:dyDescent="0.3">
      <c r="A551" t="s">
        <v>1112</v>
      </c>
      <c r="B551" t="s">
        <v>1113</v>
      </c>
      <c r="C551">
        <v>25.7</v>
      </c>
      <c r="D551">
        <v>4.13</v>
      </c>
      <c r="E551" t="s">
        <v>32</v>
      </c>
      <c r="F551" t="s">
        <v>19</v>
      </c>
      <c r="G551" t="s">
        <v>19</v>
      </c>
      <c r="H551">
        <v>0</v>
      </c>
      <c r="I551" t="s">
        <v>20</v>
      </c>
      <c r="J551" t="s">
        <v>333</v>
      </c>
      <c r="K551" t="s">
        <v>39</v>
      </c>
      <c r="L551" s="1">
        <v>23196</v>
      </c>
      <c r="M551">
        <v>18208.34</v>
      </c>
      <c r="N551" t="s">
        <v>23</v>
      </c>
      <c r="O551" t="s">
        <v>29</v>
      </c>
      <c r="P551" t="s">
        <v>1000</v>
      </c>
      <c r="Q551">
        <v>59</v>
      </c>
    </row>
    <row r="552" spans="1:17" x14ac:dyDescent="0.3">
      <c r="A552" t="s">
        <v>1114</v>
      </c>
      <c r="B552" t="s">
        <v>1115</v>
      </c>
      <c r="C552">
        <v>31.79</v>
      </c>
      <c r="D552">
        <v>4.55</v>
      </c>
      <c r="E552" t="s">
        <v>19</v>
      </c>
      <c r="F552" t="s">
        <v>19</v>
      </c>
      <c r="G552" t="s">
        <v>19</v>
      </c>
      <c r="H552">
        <v>0</v>
      </c>
      <c r="I552" t="s">
        <v>19</v>
      </c>
      <c r="J552" t="s">
        <v>21</v>
      </c>
      <c r="K552" t="s">
        <v>39</v>
      </c>
      <c r="L552" s="1">
        <v>34162</v>
      </c>
      <c r="M552">
        <v>18157.88</v>
      </c>
      <c r="N552" t="s">
        <v>23</v>
      </c>
      <c r="O552" t="s">
        <v>23</v>
      </c>
      <c r="P552" t="s">
        <v>33</v>
      </c>
      <c r="Q552">
        <v>29</v>
      </c>
    </row>
    <row r="553" spans="1:17" x14ac:dyDescent="0.3">
      <c r="A553" t="s">
        <v>1116</v>
      </c>
      <c r="B553" t="s">
        <v>396</v>
      </c>
      <c r="C553">
        <v>24.795000000000002</v>
      </c>
      <c r="D553">
        <v>4.5199999999999996</v>
      </c>
      <c r="E553" t="s">
        <v>19</v>
      </c>
      <c r="F553" t="s">
        <v>19</v>
      </c>
      <c r="G553" t="s">
        <v>19</v>
      </c>
      <c r="H553">
        <v>0</v>
      </c>
      <c r="I553" t="s">
        <v>20</v>
      </c>
      <c r="J553" t="s">
        <v>482</v>
      </c>
      <c r="K553" t="s">
        <v>39</v>
      </c>
      <c r="L553" s="1">
        <v>36457</v>
      </c>
      <c r="M553">
        <v>18033.97</v>
      </c>
      <c r="N553" t="s">
        <v>23</v>
      </c>
      <c r="O553" t="s">
        <v>23</v>
      </c>
      <c r="P553" t="s">
        <v>33</v>
      </c>
      <c r="Q553">
        <v>23</v>
      </c>
    </row>
    <row r="554" spans="1:17" x14ac:dyDescent="0.3">
      <c r="A554" t="s">
        <v>1117</v>
      </c>
      <c r="B554" t="s">
        <v>1118</v>
      </c>
      <c r="C554">
        <v>53.98</v>
      </c>
      <c r="D554">
        <v>5.07</v>
      </c>
      <c r="E554" t="s">
        <v>19</v>
      </c>
      <c r="F554" t="s">
        <v>19</v>
      </c>
      <c r="G554" t="s">
        <v>20</v>
      </c>
      <c r="H554">
        <v>1</v>
      </c>
      <c r="I554" t="s">
        <v>19</v>
      </c>
      <c r="J554" t="s">
        <v>21</v>
      </c>
      <c r="K554" t="s">
        <v>39</v>
      </c>
      <c r="L554" s="1">
        <v>24032</v>
      </c>
      <c r="M554">
        <v>18031.189999999999</v>
      </c>
      <c r="N554" t="s">
        <v>23</v>
      </c>
      <c r="O554" t="s">
        <v>29</v>
      </c>
      <c r="P554" t="s">
        <v>33</v>
      </c>
      <c r="Q554">
        <v>57</v>
      </c>
    </row>
    <row r="555" spans="1:17" x14ac:dyDescent="0.3">
      <c r="A555" t="s">
        <v>1119</v>
      </c>
      <c r="B555" t="s">
        <v>1120</v>
      </c>
      <c r="C555">
        <v>41.325000000000003</v>
      </c>
      <c r="D555">
        <v>4.04</v>
      </c>
      <c r="E555" t="s">
        <v>32</v>
      </c>
      <c r="F555" t="s">
        <v>19</v>
      </c>
      <c r="G555" t="s">
        <v>20</v>
      </c>
      <c r="H555">
        <v>1</v>
      </c>
      <c r="I555" t="s">
        <v>19</v>
      </c>
      <c r="J555" t="s">
        <v>21</v>
      </c>
      <c r="K555" t="s">
        <v>39</v>
      </c>
      <c r="L555" s="1">
        <v>27572</v>
      </c>
      <c r="M555">
        <v>18031.16</v>
      </c>
      <c r="N555" t="s">
        <v>23</v>
      </c>
      <c r="O555" t="s">
        <v>24</v>
      </c>
      <c r="P555" t="s">
        <v>354</v>
      </c>
      <c r="Q555">
        <v>47</v>
      </c>
    </row>
    <row r="556" spans="1:17" x14ac:dyDescent="0.3">
      <c r="A556" t="s">
        <v>1121</v>
      </c>
      <c r="B556" t="s">
        <v>1122</v>
      </c>
      <c r="C556">
        <v>51.65</v>
      </c>
      <c r="D556">
        <v>5.3</v>
      </c>
      <c r="E556" t="s">
        <v>32</v>
      </c>
      <c r="F556" t="s">
        <v>19</v>
      </c>
      <c r="G556" t="s">
        <v>19</v>
      </c>
      <c r="H556">
        <v>0</v>
      </c>
      <c r="I556" t="s">
        <v>19</v>
      </c>
      <c r="J556" t="s">
        <v>21</v>
      </c>
      <c r="K556" t="s">
        <v>39</v>
      </c>
      <c r="L556" s="1">
        <v>37162</v>
      </c>
      <c r="M556">
        <v>17942.11</v>
      </c>
      <c r="N556" t="s">
        <v>23</v>
      </c>
      <c r="O556" t="s">
        <v>29</v>
      </c>
      <c r="P556" t="s">
        <v>42</v>
      </c>
      <c r="Q556">
        <v>21</v>
      </c>
    </row>
    <row r="557" spans="1:17" x14ac:dyDescent="0.3">
      <c r="A557" t="s">
        <v>1123</v>
      </c>
      <c r="B557" t="s">
        <v>1124</v>
      </c>
      <c r="C557">
        <v>44.52</v>
      </c>
      <c r="D557">
        <v>8.64</v>
      </c>
      <c r="E557" t="s">
        <v>32</v>
      </c>
      <c r="F557" t="s">
        <v>19</v>
      </c>
      <c r="G557" t="s">
        <v>20</v>
      </c>
      <c r="H557">
        <v>1</v>
      </c>
      <c r="I557" t="s">
        <v>19</v>
      </c>
      <c r="J557" t="s">
        <v>21</v>
      </c>
      <c r="K557" t="s">
        <v>22</v>
      </c>
      <c r="L557" s="1">
        <v>28415</v>
      </c>
      <c r="M557">
        <v>17929.3</v>
      </c>
      <c r="N557" t="s">
        <v>23</v>
      </c>
      <c r="O557" t="s">
        <v>29</v>
      </c>
      <c r="P557" t="s">
        <v>25</v>
      </c>
      <c r="Q557">
        <v>45</v>
      </c>
    </row>
    <row r="558" spans="1:17" x14ac:dyDescent="0.3">
      <c r="A558" t="s">
        <v>1125</v>
      </c>
      <c r="B558" t="s">
        <v>1126</v>
      </c>
      <c r="C558">
        <v>53.29</v>
      </c>
      <c r="D558">
        <v>4.03</v>
      </c>
      <c r="E558" t="s">
        <v>19</v>
      </c>
      <c r="F558" t="s">
        <v>19</v>
      </c>
      <c r="G558" t="s">
        <v>20</v>
      </c>
      <c r="H558">
        <v>1</v>
      </c>
      <c r="I558" t="s">
        <v>19</v>
      </c>
      <c r="J558" t="s">
        <v>21</v>
      </c>
      <c r="K558" t="s">
        <v>39</v>
      </c>
      <c r="L558" s="1">
        <v>32846</v>
      </c>
      <c r="M558">
        <v>17904.53</v>
      </c>
      <c r="N558" t="s">
        <v>23</v>
      </c>
      <c r="O558" t="s">
        <v>29</v>
      </c>
      <c r="P558" t="s">
        <v>206</v>
      </c>
      <c r="Q558">
        <v>33</v>
      </c>
    </row>
    <row r="559" spans="1:17" x14ac:dyDescent="0.3">
      <c r="A559" t="s">
        <v>1127</v>
      </c>
      <c r="B559" t="s">
        <v>1128</v>
      </c>
      <c r="C559">
        <v>46.63</v>
      </c>
      <c r="D559">
        <v>4.26</v>
      </c>
      <c r="E559" t="s">
        <v>32</v>
      </c>
      <c r="F559" t="s">
        <v>19</v>
      </c>
      <c r="G559" t="s">
        <v>19</v>
      </c>
      <c r="H559">
        <v>2</v>
      </c>
      <c r="I559" t="s">
        <v>19</v>
      </c>
      <c r="J559" t="s">
        <v>21</v>
      </c>
      <c r="K559" t="s">
        <v>39</v>
      </c>
      <c r="L559" s="1">
        <v>29171</v>
      </c>
      <c r="M559">
        <v>17882.669999999998</v>
      </c>
      <c r="N559" t="s">
        <v>23</v>
      </c>
      <c r="O559" t="s">
        <v>24</v>
      </c>
      <c r="P559" t="s">
        <v>33</v>
      </c>
      <c r="Q559">
        <v>43</v>
      </c>
    </row>
    <row r="560" spans="1:17" x14ac:dyDescent="0.3">
      <c r="A560" t="s">
        <v>1129</v>
      </c>
      <c r="B560" t="s">
        <v>1130</v>
      </c>
      <c r="C560">
        <v>28.88</v>
      </c>
      <c r="D560">
        <v>5.35</v>
      </c>
      <c r="E560" t="s">
        <v>19</v>
      </c>
      <c r="F560" t="s">
        <v>19</v>
      </c>
      <c r="G560" t="s">
        <v>20</v>
      </c>
      <c r="H560">
        <v>1</v>
      </c>
      <c r="I560" t="s">
        <v>20</v>
      </c>
      <c r="J560" t="s">
        <v>333</v>
      </c>
      <c r="K560" t="s">
        <v>39</v>
      </c>
      <c r="L560" s="1">
        <v>35668</v>
      </c>
      <c r="M560">
        <v>17878.900000000001</v>
      </c>
      <c r="N560" t="s">
        <v>23</v>
      </c>
      <c r="O560" t="s">
        <v>29</v>
      </c>
      <c r="P560" t="s">
        <v>36</v>
      </c>
      <c r="Q560">
        <v>25</v>
      </c>
    </row>
    <row r="561" spans="1:17" x14ac:dyDescent="0.3">
      <c r="A561" t="s">
        <v>1131</v>
      </c>
      <c r="B561" t="s">
        <v>1132</v>
      </c>
      <c r="C561">
        <v>23.98</v>
      </c>
      <c r="D561">
        <v>4.9000000000000004</v>
      </c>
      <c r="E561" t="s">
        <v>19</v>
      </c>
      <c r="F561" t="s">
        <v>19</v>
      </c>
      <c r="G561" t="s">
        <v>19</v>
      </c>
      <c r="H561">
        <v>0</v>
      </c>
      <c r="I561" t="s">
        <v>19</v>
      </c>
      <c r="J561" t="s">
        <v>482</v>
      </c>
      <c r="K561" t="s">
        <v>39</v>
      </c>
      <c r="L561" s="1">
        <v>28106</v>
      </c>
      <c r="M561">
        <v>17862.919999999998</v>
      </c>
      <c r="N561" t="s">
        <v>23</v>
      </c>
      <c r="O561" t="s">
        <v>29</v>
      </c>
      <c r="P561" t="s">
        <v>33</v>
      </c>
      <c r="Q561">
        <v>46</v>
      </c>
    </row>
    <row r="562" spans="1:17" x14ac:dyDescent="0.3">
      <c r="A562" t="s">
        <v>1133</v>
      </c>
      <c r="B562" t="s">
        <v>1134</v>
      </c>
      <c r="C562">
        <v>23.65</v>
      </c>
      <c r="D562">
        <v>4.5</v>
      </c>
      <c r="E562" t="s">
        <v>19</v>
      </c>
      <c r="F562" t="s">
        <v>19</v>
      </c>
      <c r="G562" t="s">
        <v>19</v>
      </c>
      <c r="H562">
        <v>0</v>
      </c>
      <c r="I562" t="s">
        <v>19</v>
      </c>
      <c r="J562" t="s">
        <v>482</v>
      </c>
      <c r="K562" t="s">
        <v>39</v>
      </c>
      <c r="L562" s="1">
        <v>23353</v>
      </c>
      <c r="M562">
        <v>17832.599999999999</v>
      </c>
      <c r="N562" t="s">
        <v>23</v>
      </c>
      <c r="O562" t="s">
        <v>29</v>
      </c>
      <c r="P562" t="s">
        <v>33</v>
      </c>
      <c r="Q562">
        <v>59</v>
      </c>
    </row>
    <row r="563" spans="1:17" x14ac:dyDescent="0.3">
      <c r="A563" t="s">
        <v>1135</v>
      </c>
      <c r="B563" t="s">
        <v>1136</v>
      </c>
      <c r="C563">
        <v>49.09</v>
      </c>
      <c r="D563">
        <v>8.3800000000000008</v>
      </c>
      <c r="E563" t="s">
        <v>32</v>
      </c>
      <c r="F563" t="s">
        <v>19</v>
      </c>
      <c r="G563" t="s">
        <v>19</v>
      </c>
      <c r="H563">
        <v>2</v>
      </c>
      <c r="I563" t="s">
        <v>19</v>
      </c>
      <c r="J563" t="s">
        <v>21</v>
      </c>
      <c r="K563" t="s">
        <v>22</v>
      </c>
      <c r="L563" s="1">
        <v>29138</v>
      </c>
      <c r="M563">
        <v>17779.939999999999</v>
      </c>
      <c r="N563" t="s">
        <v>23</v>
      </c>
      <c r="O563" t="s">
        <v>29</v>
      </c>
      <c r="P563" t="s">
        <v>33</v>
      </c>
      <c r="Q563">
        <v>43</v>
      </c>
    </row>
    <row r="564" spans="1:17" x14ac:dyDescent="0.3">
      <c r="A564" t="s">
        <v>1137</v>
      </c>
      <c r="B564" t="s">
        <v>1138</v>
      </c>
      <c r="C564">
        <v>28.024999999999999</v>
      </c>
      <c r="D564">
        <v>7.03</v>
      </c>
      <c r="E564" t="s">
        <v>19</v>
      </c>
      <c r="F564" t="s">
        <v>19</v>
      </c>
      <c r="G564" t="s">
        <v>19</v>
      </c>
      <c r="H564">
        <v>0</v>
      </c>
      <c r="I564" t="s">
        <v>20</v>
      </c>
      <c r="J564" t="s">
        <v>333</v>
      </c>
      <c r="K564" t="s">
        <v>22</v>
      </c>
      <c r="L564" s="1">
        <v>24279</v>
      </c>
      <c r="M564">
        <v>17777.73</v>
      </c>
      <c r="N564" t="s">
        <v>23</v>
      </c>
      <c r="O564" t="s">
        <v>24</v>
      </c>
      <c r="P564" t="s">
        <v>33</v>
      </c>
      <c r="Q564">
        <v>56</v>
      </c>
    </row>
    <row r="565" spans="1:17" x14ac:dyDescent="0.3">
      <c r="A565" t="s">
        <v>1139</v>
      </c>
      <c r="B565" t="s">
        <v>1140</v>
      </c>
      <c r="C565">
        <v>43.32</v>
      </c>
      <c r="D565">
        <v>8.75</v>
      </c>
      <c r="E565" t="s">
        <v>32</v>
      </c>
      <c r="F565" t="s">
        <v>19</v>
      </c>
      <c r="G565" t="s">
        <v>20</v>
      </c>
      <c r="H565">
        <v>1</v>
      </c>
      <c r="I565" t="s">
        <v>19</v>
      </c>
      <c r="J565" t="s">
        <v>21</v>
      </c>
      <c r="K565" t="s">
        <v>22</v>
      </c>
      <c r="L565" s="1">
        <v>37816</v>
      </c>
      <c r="M565">
        <v>17748.509999999998</v>
      </c>
      <c r="N565" t="s">
        <v>23</v>
      </c>
      <c r="O565" t="s">
        <v>23</v>
      </c>
      <c r="P565" t="s">
        <v>33</v>
      </c>
      <c r="Q565">
        <v>19</v>
      </c>
    </row>
    <row r="566" spans="1:17" x14ac:dyDescent="0.3">
      <c r="A566" t="s">
        <v>1141</v>
      </c>
      <c r="B566" t="s">
        <v>1142</v>
      </c>
      <c r="C566">
        <v>45.92</v>
      </c>
      <c r="D566">
        <v>9.51</v>
      </c>
      <c r="E566" t="s">
        <v>19</v>
      </c>
      <c r="F566" t="s">
        <v>19</v>
      </c>
      <c r="G566" t="s">
        <v>19</v>
      </c>
      <c r="H566">
        <v>0</v>
      </c>
      <c r="I566" t="s">
        <v>19</v>
      </c>
      <c r="J566" t="s">
        <v>21</v>
      </c>
      <c r="K566" t="s">
        <v>22</v>
      </c>
      <c r="L566" s="1">
        <v>34516</v>
      </c>
      <c r="M566">
        <v>17663.14</v>
      </c>
      <c r="N566" t="s">
        <v>23</v>
      </c>
      <c r="O566" t="s">
        <v>24</v>
      </c>
      <c r="P566" t="s">
        <v>25</v>
      </c>
      <c r="Q566">
        <v>28</v>
      </c>
    </row>
    <row r="567" spans="1:17" x14ac:dyDescent="0.3">
      <c r="A567" t="s">
        <v>1143</v>
      </c>
      <c r="B567" t="s">
        <v>1144</v>
      </c>
      <c r="C567">
        <v>44.03</v>
      </c>
      <c r="D567">
        <v>9.36</v>
      </c>
      <c r="E567" t="s">
        <v>19</v>
      </c>
      <c r="F567" t="s">
        <v>19</v>
      </c>
      <c r="G567" t="s">
        <v>19</v>
      </c>
      <c r="H567">
        <v>0</v>
      </c>
      <c r="I567" t="s">
        <v>19</v>
      </c>
      <c r="J567" t="s">
        <v>21</v>
      </c>
      <c r="K567" t="s">
        <v>22</v>
      </c>
      <c r="L567" s="1">
        <v>33171</v>
      </c>
      <c r="M567">
        <v>17626.240000000002</v>
      </c>
      <c r="N567" t="s">
        <v>23</v>
      </c>
      <c r="O567" t="s">
        <v>24</v>
      </c>
      <c r="P567" t="s">
        <v>25</v>
      </c>
      <c r="Q567">
        <v>32</v>
      </c>
    </row>
    <row r="568" spans="1:17" x14ac:dyDescent="0.3">
      <c r="A568" t="s">
        <v>1145</v>
      </c>
      <c r="B568" t="s">
        <v>1146</v>
      </c>
      <c r="C568">
        <v>24.6</v>
      </c>
      <c r="D568">
        <v>4.8099999999999996</v>
      </c>
      <c r="E568" t="s">
        <v>19</v>
      </c>
      <c r="F568" t="s">
        <v>19</v>
      </c>
      <c r="G568" t="s">
        <v>19</v>
      </c>
      <c r="H568">
        <v>0</v>
      </c>
      <c r="I568" t="s">
        <v>20</v>
      </c>
      <c r="J568" t="s">
        <v>482</v>
      </c>
      <c r="K568" t="s">
        <v>39</v>
      </c>
      <c r="L568" s="1">
        <v>25775</v>
      </c>
      <c r="M568">
        <v>17584.72</v>
      </c>
      <c r="N568" t="s">
        <v>23</v>
      </c>
      <c r="O568" t="s">
        <v>24</v>
      </c>
      <c r="P568" t="s">
        <v>33</v>
      </c>
      <c r="Q568">
        <v>52</v>
      </c>
    </row>
    <row r="569" spans="1:17" x14ac:dyDescent="0.3">
      <c r="A569" t="s">
        <v>1147</v>
      </c>
      <c r="B569" t="s">
        <v>1148</v>
      </c>
      <c r="C569">
        <v>49.15</v>
      </c>
      <c r="D569">
        <v>8.08</v>
      </c>
      <c r="E569" t="s">
        <v>19</v>
      </c>
      <c r="F569" t="s">
        <v>19</v>
      </c>
      <c r="G569" t="s">
        <v>19</v>
      </c>
      <c r="H569">
        <v>0</v>
      </c>
      <c r="I569" t="s">
        <v>19</v>
      </c>
      <c r="J569" t="s">
        <v>21</v>
      </c>
      <c r="K569" t="s">
        <v>22</v>
      </c>
      <c r="L569" s="1">
        <v>37493</v>
      </c>
      <c r="M569">
        <v>17560.38</v>
      </c>
      <c r="N569" t="s">
        <v>23</v>
      </c>
      <c r="O569" t="s">
        <v>23</v>
      </c>
      <c r="P569" t="s">
        <v>33</v>
      </c>
      <c r="Q569">
        <v>20</v>
      </c>
    </row>
    <row r="570" spans="1:17" x14ac:dyDescent="0.3">
      <c r="A570" t="s">
        <v>1149</v>
      </c>
      <c r="B570" t="s">
        <v>1150</v>
      </c>
      <c r="C570">
        <v>28.31</v>
      </c>
      <c r="D570">
        <v>6.29</v>
      </c>
      <c r="E570" t="s">
        <v>19</v>
      </c>
      <c r="F570" t="s">
        <v>19</v>
      </c>
      <c r="G570" t="s">
        <v>20</v>
      </c>
      <c r="H570">
        <v>1</v>
      </c>
      <c r="I570" t="s">
        <v>20</v>
      </c>
      <c r="J570" t="s">
        <v>333</v>
      </c>
      <c r="K570" t="s">
        <v>28</v>
      </c>
      <c r="L570" s="1">
        <v>23331</v>
      </c>
      <c r="M570">
        <v>17556.88</v>
      </c>
      <c r="N570" t="s">
        <v>23</v>
      </c>
      <c r="O570" t="s">
        <v>29</v>
      </c>
      <c r="P570" t="s">
        <v>33</v>
      </c>
      <c r="Q570">
        <v>59</v>
      </c>
    </row>
    <row r="571" spans="1:17" x14ac:dyDescent="0.3">
      <c r="A571" t="s">
        <v>1151</v>
      </c>
      <c r="B571" t="s">
        <v>1152</v>
      </c>
      <c r="C571">
        <v>22.99</v>
      </c>
      <c r="D571">
        <v>6.29</v>
      </c>
      <c r="E571" t="s">
        <v>19</v>
      </c>
      <c r="F571" t="s">
        <v>19</v>
      </c>
      <c r="G571" t="s">
        <v>19</v>
      </c>
      <c r="H571">
        <v>1</v>
      </c>
      <c r="I571" t="s">
        <v>20</v>
      </c>
      <c r="J571" t="s">
        <v>482</v>
      </c>
      <c r="K571" t="s">
        <v>28</v>
      </c>
      <c r="L571" s="1">
        <v>25031</v>
      </c>
      <c r="M571">
        <v>17507.47</v>
      </c>
      <c r="N571" t="s">
        <v>23</v>
      </c>
      <c r="O571" t="s">
        <v>23</v>
      </c>
      <c r="P571" t="s">
        <v>1000</v>
      </c>
      <c r="Q571">
        <v>54</v>
      </c>
    </row>
    <row r="572" spans="1:17" x14ac:dyDescent="0.3">
      <c r="A572" t="s">
        <v>1153</v>
      </c>
      <c r="B572" t="s">
        <v>1154</v>
      </c>
      <c r="C572">
        <v>29.07</v>
      </c>
      <c r="D572">
        <v>5.12</v>
      </c>
      <c r="E572" t="s">
        <v>19</v>
      </c>
      <c r="F572" t="s">
        <v>19</v>
      </c>
      <c r="G572" t="s">
        <v>20</v>
      </c>
      <c r="H572">
        <v>1</v>
      </c>
      <c r="I572" t="s">
        <v>20</v>
      </c>
      <c r="J572" t="s">
        <v>333</v>
      </c>
      <c r="K572" t="s">
        <v>39</v>
      </c>
      <c r="L572" s="1">
        <v>23909</v>
      </c>
      <c r="M572">
        <v>17505.650000000001</v>
      </c>
      <c r="N572" t="s">
        <v>23</v>
      </c>
      <c r="O572" t="s">
        <v>29</v>
      </c>
      <c r="P572" t="s">
        <v>354</v>
      </c>
      <c r="Q572">
        <v>57</v>
      </c>
    </row>
    <row r="573" spans="1:17" x14ac:dyDescent="0.3">
      <c r="A573" t="s">
        <v>1155</v>
      </c>
      <c r="B573" t="s">
        <v>1156</v>
      </c>
      <c r="C573">
        <v>42.02</v>
      </c>
      <c r="D573">
        <v>9.9499999999999993</v>
      </c>
      <c r="E573" t="s">
        <v>32</v>
      </c>
      <c r="F573" t="s">
        <v>19</v>
      </c>
      <c r="G573" t="s">
        <v>20</v>
      </c>
      <c r="H573">
        <v>1</v>
      </c>
      <c r="I573" t="s">
        <v>19</v>
      </c>
      <c r="J573" t="s">
        <v>21</v>
      </c>
      <c r="K573" t="s">
        <v>22</v>
      </c>
      <c r="L573" s="1">
        <v>33236</v>
      </c>
      <c r="M573">
        <v>17496.310000000001</v>
      </c>
      <c r="N573" t="s">
        <v>23</v>
      </c>
      <c r="O573" t="s">
        <v>29</v>
      </c>
      <c r="P573" t="s">
        <v>42</v>
      </c>
      <c r="Q573">
        <v>32</v>
      </c>
    </row>
    <row r="574" spans="1:17" x14ac:dyDescent="0.3">
      <c r="A574" t="s">
        <v>1157</v>
      </c>
      <c r="B574" t="s">
        <v>1158</v>
      </c>
      <c r="C574">
        <v>49.07</v>
      </c>
      <c r="D574">
        <v>9.08</v>
      </c>
      <c r="E574" t="s">
        <v>32</v>
      </c>
      <c r="F574" t="s">
        <v>19</v>
      </c>
      <c r="G574" t="s">
        <v>19</v>
      </c>
      <c r="H574">
        <v>1</v>
      </c>
      <c r="I574" t="s">
        <v>19</v>
      </c>
      <c r="J574" t="s">
        <v>21</v>
      </c>
      <c r="K574" t="s">
        <v>22</v>
      </c>
      <c r="L574" s="1">
        <v>26092</v>
      </c>
      <c r="M574">
        <v>17479.53</v>
      </c>
      <c r="N574" t="s">
        <v>23</v>
      </c>
      <c r="O574" t="s">
        <v>23</v>
      </c>
      <c r="P574" t="s">
        <v>33</v>
      </c>
      <c r="Q574">
        <v>52</v>
      </c>
    </row>
    <row r="575" spans="1:17" x14ac:dyDescent="0.3">
      <c r="A575" t="s">
        <v>1159</v>
      </c>
      <c r="B575" t="s">
        <v>1160</v>
      </c>
      <c r="C575">
        <v>19.8</v>
      </c>
      <c r="D575">
        <v>4.82</v>
      </c>
      <c r="E575" t="s">
        <v>19</v>
      </c>
      <c r="F575" t="s">
        <v>19</v>
      </c>
      <c r="G575" t="s">
        <v>19</v>
      </c>
      <c r="H575">
        <v>0</v>
      </c>
      <c r="I575" t="s">
        <v>20</v>
      </c>
      <c r="J575" t="s">
        <v>482</v>
      </c>
      <c r="K575" t="s">
        <v>39</v>
      </c>
      <c r="L575" s="1">
        <v>37927</v>
      </c>
      <c r="M575">
        <v>17468.98</v>
      </c>
      <c r="N575" t="s">
        <v>29</v>
      </c>
      <c r="O575" t="s">
        <v>23</v>
      </c>
      <c r="P575" t="s">
        <v>33</v>
      </c>
      <c r="Q575">
        <v>19</v>
      </c>
    </row>
    <row r="576" spans="1:17" x14ac:dyDescent="0.3">
      <c r="A576" t="s">
        <v>1161</v>
      </c>
      <c r="B576" t="s">
        <v>1162</v>
      </c>
      <c r="C576">
        <v>27.36</v>
      </c>
      <c r="D576">
        <v>4.6500000000000004</v>
      </c>
      <c r="E576" t="s">
        <v>19</v>
      </c>
      <c r="F576" t="s">
        <v>32</v>
      </c>
      <c r="G576" t="s">
        <v>19</v>
      </c>
      <c r="H576">
        <v>1</v>
      </c>
      <c r="I576" t="s">
        <v>20</v>
      </c>
      <c r="J576" t="s">
        <v>333</v>
      </c>
      <c r="K576" t="s">
        <v>39</v>
      </c>
      <c r="L576" s="1">
        <v>33895</v>
      </c>
      <c r="M576">
        <v>17361.77</v>
      </c>
      <c r="N576" t="s">
        <v>29</v>
      </c>
      <c r="O576" t="s">
        <v>23</v>
      </c>
      <c r="P576" t="s">
        <v>33</v>
      </c>
      <c r="Q576">
        <v>30</v>
      </c>
    </row>
    <row r="577" spans="1:17" x14ac:dyDescent="0.3">
      <c r="A577" t="s">
        <v>1163</v>
      </c>
      <c r="B577" t="s">
        <v>1164</v>
      </c>
      <c r="C577">
        <v>42.95</v>
      </c>
      <c r="D577">
        <v>5.16</v>
      </c>
      <c r="E577" t="s">
        <v>32</v>
      </c>
      <c r="F577" t="s">
        <v>19</v>
      </c>
      <c r="G577" t="s">
        <v>19</v>
      </c>
      <c r="H577">
        <v>1</v>
      </c>
      <c r="I577" t="s">
        <v>19</v>
      </c>
      <c r="J577" t="s">
        <v>21</v>
      </c>
      <c r="K577" t="s">
        <v>39</v>
      </c>
      <c r="L577" s="1">
        <v>37926</v>
      </c>
      <c r="M577">
        <v>17352.68</v>
      </c>
      <c r="N577" t="s">
        <v>29</v>
      </c>
      <c r="O577" t="s">
        <v>24</v>
      </c>
      <c r="P577" t="s">
        <v>33</v>
      </c>
      <c r="Q577">
        <v>19</v>
      </c>
    </row>
    <row r="578" spans="1:17" x14ac:dyDescent="0.3">
      <c r="A578" t="s">
        <v>1165</v>
      </c>
      <c r="B578" t="s">
        <v>1166</v>
      </c>
      <c r="C578">
        <v>42.66</v>
      </c>
      <c r="D578">
        <v>10.44</v>
      </c>
      <c r="E578" t="s">
        <v>19</v>
      </c>
      <c r="F578" t="s">
        <v>19</v>
      </c>
      <c r="G578" t="s">
        <v>19</v>
      </c>
      <c r="H578">
        <v>0</v>
      </c>
      <c r="I578" t="s">
        <v>19</v>
      </c>
      <c r="J578" t="s">
        <v>21</v>
      </c>
      <c r="K578" t="s">
        <v>22</v>
      </c>
      <c r="L578" s="1">
        <v>23204</v>
      </c>
      <c r="M578">
        <v>17337.580000000002</v>
      </c>
      <c r="N578" t="s">
        <v>29</v>
      </c>
      <c r="O578" t="s">
        <v>24</v>
      </c>
      <c r="P578" t="s">
        <v>354</v>
      </c>
      <c r="Q578">
        <v>59</v>
      </c>
    </row>
    <row r="579" spans="1:17" x14ac:dyDescent="0.3">
      <c r="A579" t="s">
        <v>1167</v>
      </c>
      <c r="B579" t="s">
        <v>1168</v>
      </c>
      <c r="C579">
        <v>33.630000000000003</v>
      </c>
      <c r="D579">
        <v>5.69</v>
      </c>
      <c r="E579" t="s">
        <v>19</v>
      </c>
      <c r="F579" t="s">
        <v>19</v>
      </c>
      <c r="G579" t="s">
        <v>19</v>
      </c>
      <c r="H579">
        <v>1</v>
      </c>
      <c r="I579" t="s">
        <v>19</v>
      </c>
      <c r="J579" t="s">
        <v>21</v>
      </c>
      <c r="K579" t="s">
        <v>39</v>
      </c>
      <c r="L579" s="1">
        <v>27631</v>
      </c>
      <c r="M579">
        <v>17253.43</v>
      </c>
      <c r="N579" t="s">
        <v>29</v>
      </c>
      <c r="O579" t="s">
        <v>24</v>
      </c>
      <c r="P579" t="s">
        <v>1000</v>
      </c>
      <c r="Q579">
        <v>47</v>
      </c>
    </row>
    <row r="580" spans="1:17" x14ac:dyDescent="0.3">
      <c r="A580" t="s">
        <v>1169</v>
      </c>
      <c r="B580" t="s">
        <v>1170</v>
      </c>
      <c r="C580">
        <v>26.84</v>
      </c>
      <c r="D580">
        <v>6.5</v>
      </c>
      <c r="E580" t="s">
        <v>19</v>
      </c>
      <c r="F580" t="s">
        <v>19</v>
      </c>
      <c r="G580" t="s">
        <v>19</v>
      </c>
      <c r="H580">
        <v>0</v>
      </c>
      <c r="I580" t="s">
        <v>20</v>
      </c>
      <c r="J580" t="s">
        <v>333</v>
      </c>
      <c r="K580" t="s">
        <v>22</v>
      </c>
      <c r="L580" s="1">
        <v>30246</v>
      </c>
      <c r="M580">
        <v>17179.52</v>
      </c>
      <c r="N580" t="s">
        <v>29</v>
      </c>
      <c r="O580" t="s">
        <v>23</v>
      </c>
      <c r="P580" t="s">
        <v>25</v>
      </c>
      <c r="Q580">
        <v>40</v>
      </c>
    </row>
    <row r="581" spans="1:17" x14ac:dyDescent="0.3">
      <c r="A581" t="s">
        <v>1171</v>
      </c>
      <c r="B581" t="s">
        <v>1172</v>
      </c>
      <c r="C581">
        <v>28.3</v>
      </c>
      <c r="D581">
        <v>5.73</v>
      </c>
      <c r="E581" t="s">
        <v>19</v>
      </c>
      <c r="F581" t="s">
        <v>19</v>
      </c>
      <c r="G581" t="s">
        <v>20</v>
      </c>
      <c r="H581">
        <v>1</v>
      </c>
      <c r="I581" t="s">
        <v>20</v>
      </c>
      <c r="J581" t="s">
        <v>333</v>
      </c>
      <c r="K581" t="s">
        <v>28</v>
      </c>
      <c r="L581" s="1">
        <v>38217</v>
      </c>
      <c r="M581">
        <v>17178.68</v>
      </c>
      <c r="N581" t="s">
        <v>29</v>
      </c>
      <c r="O581" t="s">
        <v>29</v>
      </c>
      <c r="P581" t="s">
        <v>361</v>
      </c>
      <c r="Q581">
        <v>18</v>
      </c>
    </row>
    <row r="582" spans="1:17" x14ac:dyDescent="0.3">
      <c r="A582" t="s">
        <v>1173</v>
      </c>
      <c r="B582" t="s">
        <v>1174</v>
      </c>
      <c r="C582">
        <v>27.06</v>
      </c>
      <c r="D582">
        <v>5.74</v>
      </c>
      <c r="E582" t="s">
        <v>32</v>
      </c>
      <c r="F582" t="s">
        <v>19</v>
      </c>
      <c r="G582" t="s">
        <v>19</v>
      </c>
      <c r="H582">
        <v>0</v>
      </c>
      <c r="I582" t="s">
        <v>20</v>
      </c>
      <c r="J582" t="s">
        <v>333</v>
      </c>
      <c r="K582" t="s">
        <v>28</v>
      </c>
      <c r="L582" s="1">
        <v>23535</v>
      </c>
      <c r="M582">
        <v>17174.52</v>
      </c>
      <c r="N582" t="s">
        <v>29</v>
      </c>
      <c r="O582" t="s">
        <v>29</v>
      </c>
      <c r="P582" t="s">
        <v>33</v>
      </c>
      <c r="Q582">
        <v>59</v>
      </c>
    </row>
    <row r="583" spans="1:17" x14ac:dyDescent="0.3">
      <c r="A583" t="s">
        <v>1175</v>
      </c>
      <c r="B583" t="s">
        <v>1176</v>
      </c>
      <c r="C583">
        <v>47.13</v>
      </c>
      <c r="D583">
        <v>8.6999999999999993</v>
      </c>
      <c r="E583" t="s">
        <v>19</v>
      </c>
      <c r="F583" t="s">
        <v>19</v>
      </c>
      <c r="G583" t="s">
        <v>19</v>
      </c>
      <c r="H583">
        <v>0</v>
      </c>
      <c r="I583" t="s">
        <v>19</v>
      </c>
      <c r="J583" t="s">
        <v>21</v>
      </c>
      <c r="K583" t="s">
        <v>22</v>
      </c>
      <c r="L583" s="1">
        <v>24001</v>
      </c>
      <c r="M583">
        <v>17172.27</v>
      </c>
      <c r="N583" t="s">
        <v>29</v>
      </c>
      <c r="O583" t="s">
        <v>29</v>
      </c>
      <c r="P583" t="s">
        <v>1000</v>
      </c>
      <c r="Q583">
        <v>57</v>
      </c>
    </row>
    <row r="584" spans="1:17" x14ac:dyDescent="0.3">
      <c r="A584" t="s">
        <v>1177</v>
      </c>
      <c r="B584" t="s">
        <v>1178</v>
      </c>
      <c r="C584">
        <v>51.72</v>
      </c>
      <c r="D584">
        <v>5.09</v>
      </c>
      <c r="E584" t="s">
        <v>19</v>
      </c>
      <c r="F584" t="s">
        <v>19</v>
      </c>
      <c r="G584" t="s">
        <v>19</v>
      </c>
      <c r="H584">
        <v>0</v>
      </c>
      <c r="I584" t="s">
        <v>19</v>
      </c>
      <c r="J584" t="s">
        <v>21</v>
      </c>
      <c r="K584" t="s">
        <v>39</v>
      </c>
      <c r="L584" s="1">
        <v>35949</v>
      </c>
      <c r="M584">
        <v>17128.43</v>
      </c>
      <c r="N584" t="s">
        <v>29</v>
      </c>
      <c r="O584" t="s">
        <v>24</v>
      </c>
      <c r="P584" t="s">
        <v>59</v>
      </c>
      <c r="Q584">
        <v>25</v>
      </c>
    </row>
    <row r="585" spans="1:17" x14ac:dyDescent="0.3">
      <c r="A585" t="s">
        <v>1179</v>
      </c>
      <c r="B585" t="s">
        <v>1180</v>
      </c>
      <c r="C585">
        <v>48.59</v>
      </c>
      <c r="D585">
        <v>5.57</v>
      </c>
      <c r="E585" t="s">
        <v>19</v>
      </c>
      <c r="F585" t="s">
        <v>19</v>
      </c>
      <c r="G585" t="s">
        <v>19</v>
      </c>
      <c r="H585">
        <v>0</v>
      </c>
      <c r="I585" t="s">
        <v>19</v>
      </c>
      <c r="J585" t="s">
        <v>21</v>
      </c>
      <c r="K585" t="s">
        <v>39</v>
      </c>
      <c r="L585" s="1">
        <v>37435</v>
      </c>
      <c r="M585">
        <v>17085.27</v>
      </c>
      <c r="N585" t="s">
        <v>29</v>
      </c>
      <c r="O585" t="s">
        <v>24</v>
      </c>
      <c r="P585" t="s">
        <v>25</v>
      </c>
      <c r="Q585">
        <v>20</v>
      </c>
    </row>
    <row r="586" spans="1:17" x14ac:dyDescent="0.3">
      <c r="A586" t="s">
        <v>1181</v>
      </c>
      <c r="B586" t="s">
        <v>1182</v>
      </c>
      <c r="C586">
        <v>45.18</v>
      </c>
      <c r="D586">
        <v>10.87</v>
      </c>
      <c r="E586" t="s">
        <v>19</v>
      </c>
      <c r="F586" t="s">
        <v>19</v>
      </c>
      <c r="G586" t="s">
        <v>19</v>
      </c>
      <c r="H586">
        <v>0</v>
      </c>
      <c r="I586" t="s">
        <v>19</v>
      </c>
      <c r="J586" t="s">
        <v>21</v>
      </c>
      <c r="K586" t="s">
        <v>22</v>
      </c>
      <c r="L586" s="1">
        <v>37981</v>
      </c>
      <c r="M586">
        <v>17081.080000000002</v>
      </c>
      <c r="N586" t="s">
        <v>29</v>
      </c>
      <c r="O586" t="s">
        <v>29</v>
      </c>
      <c r="P586" t="s">
        <v>42</v>
      </c>
      <c r="Q586">
        <v>19</v>
      </c>
    </row>
    <row r="587" spans="1:17" x14ac:dyDescent="0.3">
      <c r="A587" t="s">
        <v>1183</v>
      </c>
      <c r="B587" t="s">
        <v>1184</v>
      </c>
      <c r="C587">
        <v>27.9</v>
      </c>
      <c r="D587">
        <v>6.02</v>
      </c>
      <c r="E587" t="s">
        <v>19</v>
      </c>
      <c r="F587" t="s">
        <v>19</v>
      </c>
      <c r="G587" t="s">
        <v>20</v>
      </c>
      <c r="H587">
        <v>1</v>
      </c>
      <c r="I587" t="s">
        <v>20</v>
      </c>
      <c r="J587" t="s">
        <v>333</v>
      </c>
      <c r="K587" t="s">
        <v>28</v>
      </c>
      <c r="L587" s="1">
        <v>35226</v>
      </c>
      <c r="M587">
        <v>17043.34</v>
      </c>
      <c r="N587" t="s">
        <v>29</v>
      </c>
      <c r="O587" t="s">
        <v>24</v>
      </c>
      <c r="P587" t="s">
        <v>25</v>
      </c>
      <c r="Q587">
        <v>26</v>
      </c>
    </row>
    <row r="588" spans="1:17" x14ac:dyDescent="0.3">
      <c r="A588" t="s">
        <v>1185</v>
      </c>
      <c r="B588" t="s">
        <v>1186</v>
      </c>
      <c r="C588">
        <v>51.33</v>
      </c>
      <c r="D588">
        <v>7</v>
      </c>
      <c r="E588" t="s">
        <v>19</v>
      </c>
      <c r="F588" t="s">
        <v>19</v>
      </c>
      <c r="G588" t="s">
        <v>19</v>
      </c>
      <c r="H588">
        <v>0</v>
      </c>
      <c r="I588" t="s">
        <v>19</v>
      </c>
      <c r="J588" t="s">
        <v>21</v>
      </c>
      <c r="K588" t="s">
        <v>22</v>
      </c>
      <c r="L588" s="1">
        <v>26167</v>
      </c>
      <c r="M588">
        <v>17016.009999999998</v>
      </c>
      <c r="N588" t="s">
        <v>29</v>
      </c>
      <c r="O588" t="s">
        <v>29</v>
      </c>
      <c r="P588" t="s">
        <v>354</v>
      </c>
      <c r="Q588">
        <v>51</v>
      </c>
    </row>
    <row r="589" spans="1:17" x14ac:dyDescent="0.3">
      <c r="A589" t="s">
        <v>1187</v>
      </c>
      <c r="B589" t="s">
        <v>1188</v>
      </c>
      <c r="C589">
        <v>30.59</v>
      </c>
      <c r="D589">
        <v>5.56</v>
      </c>
      <c r="E589" t="s">
        <v>32</v>
      </c>
      <c r="F589" t="s">
        <v>19</v>
      </c>
      <c r="G589" t="s">
        <v>19</v>
      </c>
      <c r="H589">
        <v>1</v>
      </c>
      <c r="I589" t="s">
        <v>19</v>
      </c>
      <c r="J589" t="s">
        <v>21</v>
      </c>
      <c r="K589" t="s">
        <v>39</v>
      </c>
      <c r="L589" s="1">
        <v>29418</v>
      </c>
      <c r="M589">
        <v>16990.55</v>
      </c>
      <c r="N589" t="s">
        <v>29</v>
      </c>
      <c r="O589" t="s">
        <v>24</v>
      </c>
      <c r="P589" t="s">
        <v>33</v>
      </c>
      <c r="Q589">
        <v>42</v>
      </c>
    </row>
    <row r="590" spans="1:17" x14ac:dyDescent="0.3">
      <c r="A590" t="s">
        <v>1189</v>
      </c>
      <c r="B590" t="s">
        <v>189</v>
      </c>
      <c r="C590">
        <v>39.229999999999997</v>
      </c>
      <c r="D590">
        <v>8.4499999999999993</v>
      </c>
      <c r="E590" t="s">
        <v>19</v>
      </c>
      <c r="F590" t="s">
        <v>19</v>
      </c>
      <c r="G590" t="s">
        <v>19</v>
      </c>
      <c r="H590">
        <v>0</v>
      </c>
      <c r="I590" t="s">
        <v>19</v>
      </c>
      <c r="J590" t="s">
        <v>21</v>
      </c>
      <c r="K590" t="s">
        <v>22</v>
      </c>
      <c r="L590" s="1">
        <v>28362</v>
      </c>
      <c r="M590">
        <v>16921.09</v>
      </c>
      <c r="N590" t="s">
        <v>29</v>
      </c>
      <c r="O590" t="s">
        <v>24</v>
      </c>
      <c r="P590" t="s">
        <v>354</v>
      </c>
      <c r="Q590">
        <v>45</v>
      </c>
    </row>
    <row r="591" spans="1:17" x14ac:dyDescent="0.3">
      <c r="A591" t="s">
        <v>1190</v>
      </c>
      <c r="B591" t="s">
        <v>1191</v>
      </c>
      <c r="C591">
        <v>19.094999999999999</v>
      </c>
      <c r="D591">
        <v>6.19</v>
      </c>
      <c r="E591" t="s">
        <v>19</v>
      </c>
      <c r="F591" t="s">
        <v>19</v>
      </c>
      <c r="G591" t="s">
        <v>19</v>
      </c>
      <c r="H591">
        <v>0</v>
      </c>
      <c r="I591" t="s">
        <v>20</v>
      </c>
      <c r="J591" t="s">
        <v>482</v>
      </c>
      <c r="K591" t="s">
        <v>28</v>
      </c>
      <c r="L591" s="1">
        <v>25132</v>
      </c>
      <c r="M591">
        <v>16903.5</v>
      </c>
      <c r="N591" t="s">
        <v>29</v>
      </c>
      <c r="O591" t="s">
        <v>24</v>
      </c>
      <c r="P591" t="s">
        <v>33</v>
      </c>
      <c r="Q591">
        <v>54</v>
      </c>
    </row>
    <row r="592" spans="1:17" x14ac:dyDescent="0.3">
      <c r="A592" t="s">
        <v>1192</v>
      </c>
      <c r="B592" t="s">
        <v>1193</v>
      </c>
      <c r="C592">
        <v>49.72</v>
      </c>
      <c r="D592">
        <v>7.71</v>
      </c>
      <c r="E592" t="s">
        <v>19</v>
      </c>
      <c r="F592" t="s">
        <v>19</v>
      </c>
      <c r="G592" t="s">
        <v>19</v>
      </c>
      <c r="H592">
        <v>0</v>
      </c>
      <c r="I592" t="s">
        <v>19</v>
      </c>
      <c r="J592" t="s">
        <v>21</v>
      </c>
      <c r="K592" t="s">
        <v>22</v>
      </c>
      <c r="L592" s="1">
        <v>37874</v>
      </c>
      <c r="M592">
        <v>16884.919999999998</v>
      </c>
      <c r="N592" t="s">
        <v>29</v>
      </c>
      <c r="O592" t="s">
        <v>29</v>
      </c>
      <c r="P592" t="s">
        <v>42</v>
      </c>
      <c r="Q592">
        <v>19</v>
      </c>
    </row>
    <row r="593" spans="1:17" x14ac:dyDescent="0.3">
      <c r="A593" t="s">
        <v>1194</v>
      </c>
      <c r="B593" t="s">
        <v>167</v>
      </c>
      <c r="C593">
        <v>21.754999999999999</v>
      </c>
      <c r="D593">
        <v>4.63</v>
      </c>
      <c r="E593" t="s">
        <v>19</v>
      </c>
      <c r="F593" t="s">
        <v>19</v>
      </c>
      <c r="G593" t="s">
        <v>20</v>
      </c>
      <c r="H593">
        <v>1</v>
      </c>
      <c r="I593" t="s">
        <v>20</v>
      </c>
      <c r="J593" t="s">
        <v>482</v>
      </c>
      <c r="K593" t="s">
        <v>39</v>
      </c>
      <c r="L593" s="1">
        <v>27249</v>
      </c>
      <c r="M593">
        <v>16841.32</v>
      </c>
      <c r="N593" t="s">
        <v>29</v>
      </c>
      <c r="O593" t="s">
        <v>24</v>
      </c>
      <c r="P593" t="s">
        <v>42</v>
      </c>
      <c r="Q593">
        <v>48</v>
      </c>
    </row>
    <row r="594" spans="1:17" x14ac:dyDescent="0.3">
      <c r="A594" t="s">
        <v>1195</v>
      </c>
      <c r="B594" t="s">
        <v>1196</v>
      </c>
      <c r="C594">
        <v>48.39</v>
      </c>
      <c r="D594">
        <v>4.6100000000000003</v>
      </c>
      <c r="E594" t="s">
        <v>19</v>
      </c>
      <c r="F594" t="s">
        <v>19</v>
      </c>
      <c r="G594" t="s">
        <v>19</v>
      </c>
      <c r="H594">
        <v>0</v>
      </c>
      <c r="I594" t="s">
        <v>19</v>
      </c>
      <c r="J594" t="s">
        <v>21</v>
      </c>
      <c r="K594" t="s">
        <v>39</v>
      </c>
      <c r="L594" s="1">
        <v>34991</v>
      </c>
      <c r="M594">
        <v>16796.41</v>
      </c>
      <c r="N594" t="s">
        <v>29</v>
      </c>
      <c r="O594" t="s">
        <v>24</v>
      </c>
      <c r="P594" t="s">
        <v>36</v>
      </c>
      <c r="Q594">
        <v>27</v>
      </c>
    </row>
    <row r="595" spans="1:17" x14ac:dyDescent="0.3">
      <c r="A595" t="s">
        <v>1197</v>
      </c>
      <c r="B595" t="s">
        <v>1198</v>
      </c>
      <c r="C595">
        <v>47.15</v>
      </c>
      <c r="D595">
        <v>9.5299999999999994</v>
      </c>
      <c r="E595" t="s">
        <v>32</v>
      </c>
      <c r="F595" t="s">
        <v>19</v>
      </c>
      <c r="G595" t="s">
        <v>19</v>
      </c>
      <c r="H595">
        <v>1</v>
      </c>
      <c r="I595" t="s">
        <v>19</v>
      </c>
      <c r="J595" t="s">
        <v>21</v>
      </c>
      <c r="K595" t="s">
        <v>22</v>
      </c>
      <c r="L595" s="1">
        <v>22856</v>
      </c>
      <c r="M595">
        <v>16779.400000000001</v>
      </c>
      <c r="N595" t="s">
        <v>29</v>
      </c>
      <c r="O595" t="s">
        <v>29</v>
      </c>
      <c r="P595" t="s">
        <v>1000</v>
      </c>
      <c r="Q595">
        <v>60</v>
      </c>
    </row>
    <row r="596" spans="1:17" x14ac:dyDescent="0.3">
      <c r="A596" t="s">
        <v>1199</v>
      </c>
      <c r="B596" t="s">
        <v>1200</v>
      </c>
      <c r="C596">
        <v>47.59</v>
      </c>
      <c r="D596">
        <v>11.43</v>
      </c>
      <c r="E596" t="s">
        <v>32</v>
      </c>
      <c r="F596" t="s">
        <v>19</v>
      </c>
      <c r="G596" t="s">
        <v>19</v>
      </c>
      <c r="H596">
        <v>2</v>
      </c>
      <c r="I596" t="s">
        <v>19</v>
      </c>
      <c r="J596" t="s">
        <v>21</v>
      </c>
      <c r="K596" t="s">
        <v>22</v>
      </c>
      <c r="L596" s="1">
        <v>32774</v>
      </c>
      <c r="M596">
        <v>16776.3</v>
      </c>
      <c r="N596" t="s">
        <v>29</v>
      </c>
      <c r="O596" t="s">
        <v>29</v>
      </c>
      <c r="P596" t="s">
        <v>36</v>
      </c>
      <c r="Q596">
        <v>33</v>
      </c>
    </row>
    <row r="597" spans="1:17" x14ac:dyDescent="0.3">
      <c r="A597" t="s">
        <v>1201</v>
      </c>
      <c r="B597" t="s">
        <v>1202</v>
      </c>
      <c r="C597">
        <v>39.81</v>
      </c>
      <c r="D597">
        <v>7.65</v>
      </c>
      <c r="E597" t="s">
        <v>32</v>
      </c>
      <c r="F597" t="s">
        <v>19</v>
      </c>
      <c r="G597" t="s">
        <v>20</v>
      </c>
      <c r="H597">
        <v>1</v>
      </c>
      <c r="I597" t="s">
        <v>19</v>
      </c>
      <c r="J597" t="s">
        <v>21</v>
      </c>
      <c r="K597" t="s">
        <v>22</v>
      </c>
      <c r="L597" s="1">
        <v>27269</v>
      </c>
      <c r="M597">
        <v>16770.990000000002</v>
      </c>
      <c r="N597" t="s">
        <v>29</v>
      </c>
      <c r="O597" t="s">
        <v>23</v>
      </c>
      <c r="P597" t="s">
        <v>33</v>
      </c>
      <c r="Q597">
        <v>48</v>
      </c>
    </row>
    <row r="598" spans="1:17" x14ac:dyDescent="0.3">
      <c r="A598" t="s">
        <v>1203</v>
      </c>
      <c r="B598" t="s">
        <v>1204</v>
      </c>
      <c r="C598">
        <v>31.02</v>
      </c>
      <c r="D598">
        <v>5.87</v>
      </c>
      <c r="E598" t="s">
        <v>32</v>
      </c>
      <c r="F598" t="s">
        <v>19</v>
      </c>
      <c r="G598" t="s">
        <v>19</v>
      </c>
      <c r="H598">
        <v>0</v>
      </c>
      <c r="I598" t="s">
        <v>19</v>
      </c>
      <c r="J598" t="s">
        <v>21</v>
      </c>
      <c r="K598" t="s">
        <v>28</v>
      </c>
      <c r="L598" s="1">
        <v>34278</v>
      </c>
      <c r="M598">
        <v>16657.72</v>
      </c>
      <c r="N598" t="s">
        <v>29</v>
      </c>
      <c r="O598" t="s">
        <v>23</v>
      </c>
      <c r="P598" t="s">
        <v>36</v>
      </c>
      <c r="Q598">
        <v>29</v>
      </c>
    </row>
    <row r="599" spans="1:17" x14ac:dyDescent="0.3">
      <c r="A599" t="s">
        <v>1205</v>
      </c>
      <c r="B599" t="s">
        <v>1206</v>
      </c>
      <c r="C599">
        <v>24.75</v>
      </c>
      <c r="D599">
        <v>4.3600000000000003</v>
      </c>
      <c r="E599" t="s">
        <v>32</v>
      </c>
      <c r="F599" t="s">
        <v>19</v>
      </c>
      <c r="G599" t="s">
        <v>19</v>
      </c>
      <c r="H599">
        <v>1</v>
      </c>
      <c r="I599" t="s">
        <v>20</v>
      </c>
      <c r="J599" t="s">
        <v>482</v>
      </c>
      <c r="K599" t="s">
        <v>39</v>
      </c>
      <c r="L599" s="1">
        <v>28393</v>
      </c>
      <c r="M599">
        <v>16631.61</v>
      </c>
      <c r="N599" t="s">
        <v>29</v>
      </c>
      <c r="O599" t="s">
        <v>23</v>
      </c>
      <c r="P599" t="s">
        <v>33</v>
      </c>
      <c r="Q599">
        <v>45</v>
      </c>
    </row>
    <row r="600" spans="1:17" x14ac:dyDescent="0.3">
      <c r="A600" t="s">
        <v>1207</v>
      </c>
      <c r="B600" t="s">
        <v>1208</v>
      </c>
      <c r="C600">
        <v>30.114999999999998</v>
      </c>
      <c r="D600">
        <v>10.119999999999999</v>
      </c>
      <c r="E600" t="s">
        <v>19</v>
      </c>
      <c r="F600" t="s">
        <v>19</v>
      </c>
      <c r="G600" t="s">
        <v>19</v>
      </c>
      <c r="H600">
        <v>3</v>
      </c>
      <c r="I600" t="s">
        <v>19</v>
      </c>
      <c r="J600" t="s">
        <v>21</v>
      </c>
      <c r="K600" t="s">
        <v>22</v>
      </c>
      <c r="L600" s="1">
        <v>27599</v>
      </c>
      <c r="M600">
        <v>16602.18</v>
      </c>
      <c r="N600" t="s">
        <v>29</v>
      </c>
      <c r="O600" t="s">
        <v>23</v>
      </c>
      <c r="P600" t="s">
        <v>1000</v>
      </c>
      <c r="Q600">
        <v>47</v>
      </c>
    </row>
    <row r="601" spans="1:17" x14ac:dyDescent="0.3">
      <c r="A601" t="s">
        <v>1209</v>
      </c>
      <c r="B601" t="s">
        <v>1210</v>
      </c>
      <c r="C601">
        <v>26.03</v>
      </c>
      <c r="D601">
        <v>4.01</v>
      </c>
      <c r="E601" t="s">
        <v>19</v>
      </c>
      <c r="F601" t="s">
        <v>19</v>
      </c>
      <c r="G601" t="s">
        <v>20</v>
      </c>
      <c r="H601">
        <v>1</v>
      </c>
      <c r="I601" t="s">
        <v>20</v>
      </c>
      <c r="J601" t="s">
        <v>333</v>
      </c>
      <c r="K601" t="s">
        <v>39</v>
      </c>
      <c r="L601" s="1">
        <v>25759</v>
      </c>
      <c r="M601">
        <v>16600.16</v>
      </c>
      <c r="N601" t="s">
        <v>29</v>
      </c>
      <c r="O601" t="s">
        <v>29</v>
      </c>
      <c r="P601" t="s">
        <v>42</v>
      </c>
      <c r="Q601">
        <v>52</v>
      </c>
    </row>
    <row r="602" spans="1:17" x14ac:dyDescent="0.3">
      <c r="A602" t="s">
        <v>1211</v>
      </c>
      <c r="B602" t="s">
        <v>1212</v>
      </c>
      <c r="C602">
        <v>20.045000000000002</v>
      </c>
      <c r="D602">
        <v>4.7699999999999996</v>
      </c>
      <c r="E602" t="s">
        <v>32</v>
      </c>
      <c r="F602" t="s">
        <v>19</v>
      </c>
      <c r="G602" t="s">
        <v>19</v>
      </c>
      <c r="H602">
        <v>1</v>
      </c>
      <c r="I602" t="s">
        <v>20</v>
      </c>
      <c r="J602" t="s">
        <v>482</v>
      </c>
      <c r="K602" t="s">
        <v>39</v>
      </c>
      <c r="L602" s="1">
        <v>23187</v>
      </c>
      <c r="M602">
        <v>16587.96</v>
      </c>
      <c r="N602" t="s">
        <v>29</v>
      </c>
      <c r="O602" t="s">
        <v>29</v>
      </c>
      <c r="P602" t="s">
        <v>354</v>
      </c>
      <c r="Q602">
        <v>59</v>
      </c>
    </row>
    <row r="603" spans="1:17" x14ac:dyDescent="0.3">
      <c r="A603" t="s">
        <v>1213</v>
      </c>
      <c r="B603" t="s">
        <v>1214</v>
      </c>
      <c r="C603">
        <v>40.24</v>
      </c>
      <c r="D603">
        <v>6.83</v>
      </c>
      <c r="E603" t="s">
        <v>19</v>
      </c>
      <c r="F603" t="s">
        <v>19</v>
      </c>
      <c r="G603" t="s">
        <v>19</v>
      </c>
      <c r="H603">
        <v>0</v>
      </c>
      <c r="I603" t="s">
        <v>19</v>
      </c>
      <c r="J603" t="s">
        <v>21</v>
      </c>
      <c r="K603" t="s">
        <v>22</v>
      </c>
      <c r="L603" s="1">
        <v>37067</v>
      </c>
      <c r="M603">
        <v>16586.5</v>
      </c>
      <c r="N603" t="s">
        <v>29</v>
      </c>
      <c r="O603" t="s">
        <v>23</v>
      </c>
      <c r="P603" t="s">
        <v>25</v>
      </c>
      <c r="Q603">
        <v>21</v>
      </c>
    </row>
    <row r="604" spans="1:17" x14ac:dyDescent="0.3">
      <c r="A604" t="s">
        <v>1215</v>
      </c>
      <c r="B604" t="s">
        <v>1216</v>
      </c>
      <c r="C604">
        <v>43.15</v>
      </c>
      <c r="D604">
        <v>6.14</v>
      </c>
      <c r="E604" t="s">
        <v>32</v>
      </c>
      <c r="F604" t="s">
        <v>19</v>
      </c>
      <c r="G604" t="s">
        <v>20</v>
      </c>
      <c r="H604">
        <v>1</v>
      </c>
      <c r="I604" t="s">
        <v>19</v>
      </c>
      <c r="J604" t="s">
        <v>21</v>
      </c>
      <c r="K604" t="s">
        <v>28</v>
      </c>
      <c r="L604" s="1">
        <v>35056</v>
      </c>
      <c r="M604">
        <v>16577.78</v>
      </c>
      <c r="N604" t="s">
        <v>29</v>
      </c>
      <c r="O604" t="s">
        <v>23</v>
      </c>
      <c r="P604" t="s">
        <v>25</v>
      </c>
      <c r="Q604">
        <v>27</v>
      </c>
    </row>
    <row r="605" spans="1:17" x14ac:dyDescent="0.3">
      <c r="A605" t="s">
        <v>1217</v>
      </c>
      <c r="B605" t="s">
        <v>1218</v>
      </c>
      <c r="C605">
        <v>27.7</v>
      </c>
      <c r="D605">
        <v>5.6</v>
      </c>
      <c r="E605" t="s">
        <v>19</v>
      </c>
      <c r="F605" t="s">
        <v>19</v>
      </c>
      <c r="G605" t="s">
        <v>20</v>
      </c>
      <c r="H605">
        <v>1</v>
      </c>
      <c r="I605" t="s">
        <v>20</v>
      </c>
      <c r="J605" t="s">
        <v>333</v>
      </c>
      <c r="K605" t="s">
        <v>39</v>
      </c>
      <c r="L605" s="1">
        <v>21468</v>
      </c>
      <c r="M605">
        <v>16455.71</v>
      </c>
      <c r="N605" t="s">
        <v>29</v>
      </c>
      <c r="O605" t="s">
        <v>29</v>
      </c>
      <c r="P605" t="s">
        <v>33</v>
      </c>
      <c r="Q605">
        <v>64</v>
      </c>
    </row>
    <row r="606" spans="1:17" x14ac:dyDescent="0.3">
      <c r="A606" t="s">
        <v>1219</v>
      </c>
      <c r="B606" t="s">
        <v>265</v>
      </c>
      <c r="C606">
        <v>45.68</v>
      </c>
      <c r="D606">
        <v>4.8</v>
      </c>
      <c r="E606" t="s">
        <v>19</v>
      </c>
      <c r="F606" t="s">
        <v>19</v>
      </c>
      <c r="G606" t="s">
        <v>19</v>
      </c>
      <c r="H606">
        <v>2</v>
      </c>
      <c r="I606" t="s">
        <v>19</v>
      </c>
      <c r="J606" t="s">
        <v>21</v>
      </c>
      <c r="K606" t="s">
        <v>39</v>
      </c>
      <c r="L606" s="1">
        <v>37975</v>
      </c>
      <c r="M606">
        <v>16450.89</v>
      </c>
      <c r="N606" t="s">
        <v>29</v>
      </c>
      <c r="O606" t="s">
        <v>23</v>
      </c>
      <c r="P606" t="s">
        <v>33</v>
      </c>
      <c r="Q606">
        <v>19</v>
      </c>
    </row>
    <row r="607" spans="1:17" x14ac:dyDescent="0.3">
      <c r="A607" t="s">
        <v>1220</v>
      </c>
      <c r="B607" t="s">
        <v>1221</v>
      </c>
      <c r="C607">
        <v>27.3</v>
      </c>
      <c r="D607">
        <v>11.89</v>
      </c>
      <c r="E607" t="s">
        <v>19</v>
      </c>
      <c r="F607" t="s">
        <v>19</v>
      </c>
      <c r="G607" t="s">
        <v>19</v>
      </c>
      <c r="H607">
        <v>0</v>
      </c>
      <c r="I607" t="s">
        <v>20</v>
      </c>
      <c r="J607" t="s">
        <v>333</v>
      </c>
      <c r="K607" t="s">
        <v>22</v>
      </c>
      <c r="L607" s="1">
        <v>34970</v>
      </c>
      <c r="M607">
        <v>16420.490000000002</v>
      </c>
      <c r="N607" t="s">
        <v>29</v>
      </c>
      <c r="O607" t="s">
        <v>24</v>
      </c>
      <c r="P607" t="s">
        <v>33</v>
      </c>
      <c r="Q607">
        <v>27</v>
      </c>
    </row>
    <row r="608" spans="1:17" x14ac:dyDescent="0.3">
      <c r="A608" t="s">
        <v>1222</v>
      </c>
      <c r="B608" t="s">
        <v>1223</v>
      </c>
      <c r="C608">
        <v>54.45</v>
      </c>
      <c r="D608">
        <v>4.7300000000000004</v>
      </c>
      <c r="E608" t="s">
        <v>32</v>
      </c>
      <c r="F608" t="s">
        <v>19</v>
      </c>
      <c r="G608" t="s">
        <v>19</v>
      </c>
      <c r="H608">
        <v>1</v>
      </c>
      <c r="I608" t="s">
        <v>19</v>
      </c>
      <c r="J608" t="s">
        <v>21</v>
      </c>
      <c r="K608" t="s">
        <v>39</v>
      </c>
      <c r="L608" s="1">
        <v>24081</v>
      </c>
      <c r="M608">
        <v>16351.42</v>
      </c>
      <c r="N608" t="s">
        <v>29</v>
      </c>
      <c r="O608" t="s">
        <v>24</v>
      </c>
      <c r="P608" t="s">
        <v>1000</v>
      </c>
      <c r="Q608">
        <v>57</v>
      </c>
    </row>
    <row r="609" spans="1:17" x14ac:dyDescent="0.3">
      <c r="A609" t="s">
        <v>1224</v>
      </c>
      <c r="B609" t="s">
        <v>1225</v>
      </c>
      <c r="C609">
        <v>54.43</v>
      </c>
      <c r="D609">
        <v>4.6100000000000003</v>
      </c>
      <c r="E609" t="s">
        <v>32</v>
      </c>
      <c r="F609" t="s">
        <v>19</v>
      </c>
      <c r="G609" t="s">
        <v>19</v>
      </c>
      <c r="H609">
        <v>1</v>
      </c>
      <c r="I609" t="s">
        <v>19</v>
      </c>
      <c r="J609" t="s">
        <v>21</v>
      </c>
      <c r="K609" t="s">
        <v>39</v>
      </c>
      <c r="L609" s="1">
        <v>25423</v>
      </c>
      <c r="M609">
        <v>16311.05</v>
      </c>
      <c r="N609" t="s">
        <v>29</v>
      </c>
      <c r="O609" t="s">
        <v>24</v>
      </c>
      <c r="P609" t="s">
        <v>1000</v>
      </c>
      <c r="Q609">
        <v>53</v>
      </c>
    </row>
    <row r="610" spans="1:17" x14ac:dyDescent="0.3">
      <c r="A610" t="s">
        <v>1226</v>
      </c>
      <c r="B610" t="s">
        <v>1227</v>
      </c>
      <c r="C610">
        <v>48.01</v>
      </c>
      <c r="D610">
        <v>7.3</v>
      </c>
      <c r="E610" t="s">
        <v>19</v>
      </c>
      <c r="F610" t="s">
        <v>19</v>
      </c>
      <c r="G610" t="s">
        <v>19</v>
      </c>
      <c r="H610">
        <v>0</v>
      </c>
      <c r="I610" t="s">
        <v>19</v>
      </c>
      <c r="J610" t="s">
        <v>21</v>
      </c>
      <c r="K610" t="s">
        <v>22</v>
      </c>
      <c r="L610" s="1">
        <v>37857</v>
      </c>
      <c r="M610">
        <v>16297.85</v>
      </c>
      <c r="N610" t="s">
        <v>29</v>
      </c>
      <c r="O610" t="s">
        <v>24</v>
      </c>
      <c r="P610" t="s">
        <v>42</v>
      </c>
      <c r="Q610">
        <v>19</v>
      </c>
    </row>
    <row r="611" spans="1:17" x14ac:dyDescent="0.3">
      <c r="A611" t="s">
        <v>1228</v>
      </c>
      <c r="B611" t="s">
        <v>1229</v>
      </c>
      <c r="C611">
        <v>48.32</v>
      </c>
      <c r="D611">
        <v>5.88</v>
      </c>
      <c r="E611" t="s">
        <v>19</v>
      </c>
      <c r="F611" t="s">
        <v>19</v>
      </c>
      <c r="G611" t="s">
        <v>19</v>
      </c>
      <c r="H611">
        <v>0</v>
      </c>
      <c r="I611" t="s">
        <v>19</v>
      </c>
      <c r="J611" t="s">
        <v>21</v>
      </c>
      <c r="K611" t="s">
        <v>28</v>
      </c>
      <c r="L611" s="1">
        <v>26510</v>
      </c>
      <c r="M611">
        <v>16267.32</v>
      </c>
      <c r="N611" t="s">
        <v>29</v>
      </c>
      <c r="O611" t="s">
        <v>29</v>
      </c>
      <c r="P611" t="s">
        <v>354</v>
      </c>
      <c r="Q611">
        <v>50</v>
      </c>
    </row>
    <row r="612" spans="1:17" x14ac:dyDescent="0.3">
      <c r="A612" t="s">
        <v>1230</v>
      </c>
      <c r="B612" t="s">
        <v>1231</v>
      </c>
      <c r="C612">
        <v>22.895</v>
      </c>
      <c r="D612">
        <v>4.0599999999999996</v>
      </c>
      <c r="E612" t="s">
        <v>19</v>
      </c>
      <c r="F612" t="s">
        <v>19</v>
      </c>
      <c r="G612" t="s">
        <v>20</v>
      </c>
      <c r="H612">
        <v>1</v>
      </c>
      <c r="I612" t="s">
        <v>20</v>
      </c>
      <c r="J612" t="s">
        <v>482</v>
      </c>
      <c r="K612" t="s">
        <v>39</v>
      </c>
      <c r="L612" s="1">
        <v>37507</v>
      </c>
      <c r="M612">
        <v>16232.85</v>
      </c>
      <c r="N612" t="s">
        <v>29</v>
      </c>
      <c r="O612" t="s">
        <v>23</v>
      </c>
      <c r="P612" t="s">
        <v>42</v>
      </c>
      <c r="Q612">
        <v>20</v>
      </c>
    </row>
    <row r="613" spans="1:17" x14ac:dyDescent="0.3">
      <c r="A613" t="s">
        <v>1232</v>
      </c>
      <c r="B613" t="s">
        <v>1233</v>
      </c>
      <c r="C613">
        <v>54.85</v>
      </c>
      <c r="D613">
        <v>4.9000000000000004</v>
      </c>
      <c r="E613" t="s">
        <v>19</v>
      </c>
      <c r="F613" t="s">
        <v>19</v>
      </c>
      <c r="G613" t="s">
        <v>19</v>
      </c>
      <c r="H613">
        <v>1</v>
      </c>
      <c r="I613" t="s">
        <v>19</v>
      </c>
      <c r="J613" t="s">
        <v>21</v>
      </c>
      <c r="K613" t="s">
        <v>39</v>
      </c>
      <c r="L613" s="1">
        <v>32376</v>
      </c>
      <c r="M613">
        <v>16205.88</v>
      </c>
      <c r="N613" t="s">
        <v>29</v>
      </c>
      <c r="O613" t="s">
        <v>23</v>
      </c>
      <c r="P613" t="s">
        <v>33</v>
      </c>
      <c r="Q613">
        <v>34</v>
      </c>
    </row>
    <row r="614" spans="1:17" x14ac:dyDescent="0.3">
      <c r="A614" t="s">
        <v>1234</v>
      </c>
      <c r="B614" t="s">
        <v>1235</v>
      </c>
      <c r="C614">
        <v>21.85</v>
      </c>
      <c r="D614">
        <v>5.52</v>
      </c>
      <c r="E614" t="s">
        <v>19</v>
      </c>
      <c r="F614" t="s">
        <v>19</v>
      </c>
      <c r="G614" t="s">
        <v>20</v>
      </c>
      <c r="H614">
        <v>1</v>
      </c>
      <c r="I614" t="s">
        <v>20</v>
      </c>
      <c r="J614" t="s">
        <v>482</v>
      </c>
      <c r="K614" t="s">
        <v>39</v>
      </c>
      <c r="L614" s="1">
        <v>32361</v>
      </c>
      <c r="M614">
        <v>16199.1</v>
      </c>
      <c r="N614" t="s">
        <v>29</v>
      </c>
      <c r="O614" t="s">
        <v>29</v>
      </c>
      <c r="P614" t="s">
        <v>33</v>
      </c>
      <c r="Q614">
        <v>34</v>
      </c>
    </row>
    <row r="615" spans="1:17" x14ac:dyDescent="0.3">
      <c r="A615" t="s">
        <v>1236</v>
      </c>
      <c r="B615" t="s">
        <v>1237</v>
      </c>
      <c r="C615">
        <v>51.86</v>
      </c>
      <c r="D615">
        <v>5.2</v>
      </c>
      <c r="E615" t="s">
        <v>32</v>
      </c>
      <c r="F615" t="s">
        <v>19</v>
      </c>
      <c r="G615" t="s">
        <v>19</v>
      </c>
      <c r="H615">
        <v>0</v>
      </c>
      <c r="I615" t="s">
        <v>19</v>
      </c>
      <c r="J615" t="s">
        <v>21</v>
      </c>
      <c r="K615" t="s">
        <v>39</v>
      </c>
      <c r="L615" s="1">
        <v>27283</v>
      </c>
      <c r="M615">
        <v>16190.97</v>
      </c>
      <c r="N615" t="s">
        <v>29</v>
      </c>
      <c r="O615" t="s">
        <v>24</v>
      </c>
      <c r="P615" t="s">
        <v>33</v>
      </c>
      <c r="Q615">
        <v>48</v>
      </c>
    </row>
    <row r="616" spans="1:17" x14ac:dyDescent="0.3">
      <c r="A616" t="s">
        <v>1238</v>
      </c>
      <c r="B616" t="s">
        <v>1239</v>
      </c>
      <c r="C616">
        <v>39.049999999999997</v>
      </c>
      <c r="D616">
        <v>7.59</v>
      </c>
      <c r="E616" t="s">
        <v>19</v>
      </c>
      <c r="F616" t="s">
        <v>19</v>
      </c>
      <c r="G616" t="s">
        <v>19</v>
      </c>
      <c r="H616">
        <v>3</v>
      </c>
      <c r="I616" t="s">
        <v>19</v>
      </c>
      <c r="J616" t="s">
        <v>21</v>
      </c>
      <c r="K616" t="s">
        <v>22</v>
      </c>
      <c r="L616" s="1">
        <v>30138</v>
      </c>
      <c r="M616">
        <v>16152.04</v>
      </c>
      <c r="N616" t="s">
        <v>29</v>
      </c>
      <c r="O616" t="s">
        <v>23</v>
      </c>
      <c r="P616" t="s">
        <v>1000</v>
      </c>
      <c r="Q616">
        <v>40</v>
      </c>
    </row>
    <row r="617" spans="1:17" x14ac:dyDescent="0.3">
      <c r="A617" t="s">
        <v>1240</v>
      </c>
      <c r="B617" t="s">
        <v>173</v>
      </c>
      <c r="C617">
        <v>31.824999999999999</v>
      </c>
      <c r="D617">
        <v>8.2799999999999994</v>
      </c>
      <c r="E617" t="s">
        <v>19</v>
      </c>
      <c r="F617" t="s">
        <v>19</v>
      </c>
      <c r="G617" t="s">
        <v>19</v>
      </c>
      <c r="H617">
        <v>3</v>
      </c>
      <c r="I617" t="s">
        <v>19</v>
      </c>
      <c r="J617" t="s">
        <v>21</v>
      </c>
      <c r="K617" t="s">
        <v>22</v>
      </c>
      <c r="L617" s="1">
        <v>34315</v>
      </c>
      <c r="M617">
        <v>16138.76</v>
      </c>
      <c r="N617" t="s">
        <v>29</v>
      </c>
      <c r="O617" t="s">
        <v>24</v>
      </c>
      <c r="P617" t="s">
        <v>206</v>
      </c>
      <c r="Q617">
        <v>29</v>
      </c>
    </row>
    <row r="618" spans="1:17" x14ac:dyDescent="0.3">
      <c r="A618" t="s">
        <v>1241</v>
      </c>
      <c r="B618" t="s">
        <v>599</v>
      </c>
      <c r="C618">
        <v>46.43</v>
      </c>
      <c r="D618">
        <v>6.72</v>
      </c>
      <c r="E618" t="s">
        <v>19</v>
      </c>
      <c r="F618" t="s">
        <v>19</v>
      </c>
      <c r="G618" t="s">
        <v>19</v>
      </c>
      <c r="H618">
        <v>0</v>
      </c>
      <c r="I618" t="s">
        <v>19</v>
      </c>
      <c r="J618" t="s">
        <v>21</v>
      </c>
      <c r="K618" t="s">
        <v>22</v>
      </c>
      <c r="L618" s="1">
        <v>32056</v>
      </c>
      <c r="M618">
        <v>16122.65</v>
      </c>
      <c r="N618" t="s">
        <v>29</v>
      </c>
      <c r="O618" t="s">
        <v>23</v>
      </c>
      <c r="P618" t="s">
        <v>42</v>
      </c>
      <c r="Q618">
        <v>35</v>
      </c>
    </row>
    <row r="619" spans="1:17" x14ac:dyDescent="0.3">
      <c r="A619" t="s">
        <v>1242</v>
      </c>
      <c r="B619" t="s">
        <v>1243</v>
      </c>
      <c r="C619">
        <v>53.63</v>
      </c>
      <c r="D619">
        <v>5.47</v>
      </c>
      <c r="E619" t="s">
        <v>32</v>
      </c>
      <c r="F619" t="s">
        <v>19</v>
      </c>
      <c r="G619" t="s">
        <v>19</v>
      </c>
      <c r="H619">
        <v>1</v>
      </c>
      <c r="I619" t="s">
        <v>19</v>
      </c>
      <c r="J619" t="s">
        <v>21</v>
      </c>
      <c r="K619" t="s">
        <v>39</v>
      </c>
      <c r="L619" s="1">
        <v>34189</v>
      </c>
      <c r="M619">
        <v>16115.3</v>
      </c>
      <c r="N619" t="s">
        <v>29</v>
      </c>
      <c r="O619" t="s">
        <v>23</v>
      </c>
      <c r="P619" t="s">
        <v>36</v>
      </c>
      <c r="Q619">
        <v>29</v>
      </c>
    </row>
    <row r="620" spans="1:17" x14ac:dyDescent="0.3">
      <c r="A620" t="s">
        <v>1244</v>
      </c>
      <c r="B620" t="s">
        <v>1245</v>
      </c>
      <c r="C620">
        <v>48.7</v>
      </c>
      <c r="D620">
        <v>4.71</v>
      </c>
      <c r="E620" t="s">
        <v>19</v>
      </c>
      <c r="F620" t="s">
        <v>19</v>
      </c>
      <c r="G620" t="s">
        <v>19</v>
      </c>
      <c r="H620">
        <v>0</v>
      </c>
      <c r="I620" t="s">
        <v>19</v>
      </c>
      <c r="J620" t="s">
        <v>21</v>
      </c>
      <c r="K620" t="s">
        <v>39</v>
      </c>
      <c r="L620" s="1">
        <v>31286</v>
      </c>
      <c r="M620">
        <v>16097.94</v>
      </c>
      <c r="N620" t="s">
        <v>29</v>
      </c>
      <c r="O620" t="s">
        <v>24</v>
      </c>
      <c r="P620" t="s">
        <v>33</v>
      </c>
      <c r="Q620">
        <v>37</v>
      </c>
    </row>
    <row r="621" spans="1:17" x14ac:dyDescent="0.3">
      <c r="A621" t="s">
        <v>1246</v>
      </c>
      <c r="B621" t="s">
        <v>1247</v>
      </c>
      <c r="C621">
        <v>48.81</v>
      </c>
      <c r="D621">
        <v>5.49</v>
      </c>
      <c r="E621" t="s">
        <v>19</v>
      </c>
      <c r="F621" t="s">
        <v>19</v>
      </c>
      <c r="G621" t="s">
        <v>19</v>
      </c>
      <c r="H621">
        <v>0</v>
      </c>
      <c r="I621" t="s">
        <v>19</v>
      </c>
      <c r="J621" t="s">
        <v>21</v>
      </c>
      <c r="K621" t="s">
        <v>39</v>
      </c>
      <c r="L621" s="1">
        <v>21357</v>
      </c>
      <c r="M621">
        <v>16085.13</v>
      </c>
      <c r="N621" t="s">
        <v>29</v>
      </c>
      <c r="O621" t="s">
        <v>29</v>
      </c>
      <c r="P621" t="s">
        <v>25</v>
      </c>
      <c r="Q621">
        <v>64</v>
      </c>
    </row>
    <row r="622" spans="1:17" x14ac:dyDescent="0.3">
      <c r="A622" t="s">
        <v>1248</v>
      </c>
      <c r="B622" t="s">
        <v>1249</v>
      </c>
      <c r="C622">
        <v>47.53</v>
      </c>
      <c r="D622">
        <v>4.72</v>
      </c>
      <c r="E622" t="s">
        <v>19</v>
      </c>
      <c r="F622" t="s">
        <v>19</v>
      </c>
      <c r="G622" t="s">
        <v>19</v>
      </c>
      <c r="H622">
        <v>0</v>
      </c>
      <c r="I622" t="s">
        <v>19</v>
      </c>
      <c r="J622" t="s">
        <v>21</v>
      </c>
      <c r="K622" t="s">
        <v>39</v>
      </c>
      <c r="L622" s="1">
        <v>21480</v>
      </c>
      <c r="M622">
        <v>16069.08</v>
      </c>
      <c r="N622" t="s">
        <v>29</v>
      </c>
      <c r="O622" t="s">
        <v>29</v>
      </c>
      <c r="P622" t="s">
        <v>36</v>
      </c>
      <c r="Q622">
        <v>64</v>
      </c>
    </row>
    <row r="623" spans="1:17" x14ac:dyDescent="0.3">
      <c r="A623" t="s">
        <v>1250</v>
      </c>
      <c r="B623" t="s">
        <v>1251</v>
      </c>
      <c r="C623">
        <v>36.85</v>
      </c>
      <c r="D623">
        <v>6.7</v>
      </c>
      <c r="E623" t="s">
        <v>19</v>
      </c>
      <c r="F623" t="s">
        <v>19</v>
      </c>
      <c r="G623" t="s">
        <v>19</v>
      </c>
      <c r="H623">
        <v>0</v>
      </c>
      <c r="I623" t="s">
        <v>19</v>
      </c>
      <c r="J623" t="s">
        <v>21</v>
      </c>
      <c r="K623" t="s">
        <v>22</v>
      </c>
      <c r="L623" s="1">
        <v>28749</v>
      </c>
      <c r="M623">
        <v>16062.89</v>
      </c>
      <c r="N623" t="s">
        <v>29</v>
      </c>
      <c r="O623" t="s">
        <v>29</v>
      </c>
      <c r="P623" t="s">
        <v>1000</v>
      </c>
      <c r="Q623">
        <v>44</v>
      </c>
    </row>
    <row r="624" spans="1:17" x14ac:dyDescent="0.3">
      <c r="A624" t="s">
        <v>1252</v>
      </c>
      <c r="B624" t="s">
        <v>1253</v>
      </c>
      <c r="C624">
        <v>29.3</v>
      </c>
      <c r="D624">
        <v>5.5</v>
      </c>
      <c r="E624" t="s">
        <v>19</v>
      </c>
      <c r="F624" t="s">
        <v>19</v>
      </c>
      <c r="G624" t="s">
        <v>19</v>
      </c>
      <c r="H624">
        <v>0</v>
      </c>
      <c r="I624" t="s">
        <v>19</v>
      </c>
      <c r="J624" t="s">
        <v>333</v>
      </c>
      <c r="K624" t="s">
        <v>39</v>
      </c>
      <c r="L624" s="1">
        <v>32482</v>
      </c>
      <c r="M624">
        <v>16059.06</v>
      </c>
      <c r="N624" t="s">
        <v>29</v>
      </c>
      <c r="O624" t="s">
        <v>24</v>
      </c>
      <c r="P624" t="s">
        <v>33</v>
      </c>
      <c r="Q624">
        <v>34</v>
      </c>
    </row>
    <row r="625" spans="1:17" x14ac:dyDescent="0.3">
      <c r="A625" t="s">
        <v>1254</v>
      </c>
      <c r="B625" t="s">
        <v>1255</v>
      </c>
      <c r="C625">
        <v>19.3</v>
      </c>
      <c r="D625">
        <v>4.46</v>
      </c>
      <c r="E625" t="s">
        <v>19</v>
      </c>
      <c r="F625" t="s">
        <v>19</v>
      </c>
      <c r="G625" t="s">
        <v>19</v>
      </c>
      <c r="H625">
        <v>1</v>
      </c>
      <c r="I625" t="s">
        <v>20</v>
      </c>
      <c r="J625" t="s">
        <v>482</v>
      </c>
      <c r="K625" t="s">
        <v>39</v>
      </c>
      <c r="L625" s="1">
        <v>29483</v>
      </c>
      <c r="M625">
        <v>15966.19</v>
      </c>
      <c r="N625" t="s">
        <v>29</v>
      </c>
      <c r="O625" t="s">
        <v>29</v>
      </c>
      <c r="P625" t="s">
        <v>33</v>
      </c>
      <c r="Q625">
        <v>42</v>
      </c>
    </row>
    <row r="626" spans="1:17" x14ac:dyDescent="0.3">
      <c r="A626" t="s">
        <v>1256</v>
      </c>
      <c r="B626" t="s">
        <v>1257</v>
      </c>
      <c r="C626">
        <v>24.13</v>
      </c>
      <c r="D626">
        <v>5.29</v>
      </c>
      <c r="E626" t="s">
        <v>32</v>
      </c>
      <c r="F626" t="s">
        <v>19</v>
      </c>
      <c r="G626" t="s">
        <v>20</v>
      </c>
      <c r="H626">
        <v>1</v>
      </c>
      <c r="I626" t="s">
        <v>20</v>
      </c>
      <c r="J626" t="s">
        <v>482</v>
      </c>
      <c r="K626" t="s">
        <v>39</v>
      </c>
      <c r="L626" s="1">
        <v>30156</v>
      </c>
      <c r="M626">
        <v>15965.29</v>
      </c>
      <c r="N626" t="s">
        <v>29</v>
      </c>
      <c r="O626" t="s">
        <v>23</v>
      </c>
      <c r="P626" t="s">
        <v>33</v>
      </c>
      <c r="Q626">
        <v>40</v>
      </c>
    </row>
    <row r="627" spans="1:17" x14ac:dyDescent="0.3">
      <c r="A627" t="s">
        <v>1258</v>
      </c>
      <c r="B627" t="s">
        <v>1259</v>
      </c>
      <c r="C627">
        <v>46.7</v>
      </c>
      <c r="D627">
        <v>10.99</v>
      </c>
      <c r="E627" t="s">
        <v>19</v>
      </c>
      <c r="F627" t="s">
        <v>19</v>
      </c>
      <c r="G627" t="s">
        <v>19</v>
      </c>
      <c r="H627">
        <v>0</v>
      </c>
      <c r="I627" t="s">
        <v>19</v>
      </c>
      <c r="J627" t="s">
        <v>21</v>
      </c>
      <c r="K627" t="s">
        <v>22</v>
      </c>
      <c r="L627" s="1">
        <v>29506</v>
      </c>
      <c r="M627">
        <v>15922.29</v>
      </c>
      <c r="N627" t="s">
        <v>29</v>
      </c>
      <c r="O627" t="s">
        <v>24</v>
      </c>
      <c r="P627" t="s">
        <v>1000</v>
      </c>
      <c r="Q627">
        <v>42</v>
      </c>
    </row>
    <row r="628" spans="1:17" x14ac:dyDescent="0.3">
      <c r="A628" t="s">
        <v>1260</v>
      </c>
      <c r="B628" t="s">
        <v>1261</v>
      </c>
      <c r="C628">
        <v>45.27</v>
      </c>
      <c r="D628">
        <v>5.2</v>
      </c>
      <c r="E628" t="s">
        <v>32</v>
      </c>
      <c r="F628" t="s">
        <v>19</v>
      </c>
      <c r="G628" t="s">
        <v>19</v>
      </c>
      <c r="H628">
        <v>0</v>
      </c>
      <c r="I628" t="s">
        <v>19</v>
      </c>
      <c r="J628" t="s">
        <v>21</v>
      </c>
      <c r="K628" t="s">
        <v>39</v>
      </c>
      <c r="L628" s="1">
        <v>23005</v>
      </c>
      <c r="M628">
        <v>15840.81</v>
      </c>
      <c r="N628" t="s">
        <v>29</v>
      </c>
      <c r="O628" t="s">
        <v>23</v>
      </c>
      <c r="P628" t="s">
        <v>1262</v>
      </c>
      <c r="Q628">
        <v>60</v>
      </c>
    </row>
    <row r="629" spans="1:17" x14ac:dyDescent="0.3">
      <c r="A629" t="s">
        <v>1263</v>
      </c>
      <c r="B629" t="s">
        <v>1264</v>
      </c>
      <c r="C629">
        <v>44.29</v>
      </c>
      <c r="D629">
        <v>9.66</v>
      </c>
      <c r="E629" t="s">
        <v>19</v>
      </c>
      <c r="F629" t="s">
        <v>19</v>
      </c>
      <c r="G629" t="s">
        <v>19</v>
      </c>
      <c r="H629">
        <v>2</v>
      </c>
      <c r="I629" t="s">
        <v>19</v>
      </c>
      <c r="J629" t="s">
        <v>21</v>
      </c>
      <c r="K629" t="s">
        <v>22</v>
      </c>
      <c r="L629" s="1">
        <v>30266</v>
      </c>
      <c r="M629">
        <v>15828.82</v>
      </c>
      <c r="N629" t="s">
        <v>29</v>
      </c>
      <c r="O629" t="s">
        <v>24</v>
      </c>
      <c r="P629" t="s">
        <v>42</v>
      </c>
      <c r="Q629">
        <v>40</v>
      </c>
    </row>
    <row r="630" spans="1:17" x14ac:dyDescent="0.3">
      <c r="A630" t="s">
        <v>1265</v>
      </c>
      <c r="B630" t="s">
        <v>1266</v>
      </c>
      <c r="C630">
        <v>54.59</v>
      </c>
      <c r="D630">
        <v>4.22</v>
      </c>
      <c r="E630" t="s">
        <v>32</v>
      </c>
      <c r="F630" t="s">
        <v>19</v>
      </c>
      <c r="G630" t="s">
        <v>19</v>
      </c>
      <c r="H630">
        <v>1</v>
      </c>
      <c r="I630" t="s">
        <v>19</v>
      </c>
      <c r="J630" t="s">
        <v>21</v>
      </c>
      <c r="K630" t="s">
        <v>39</v>
      </c>
      <c r="L630" s="1">
        <v>30859</v>
      </c>
      <c r="M630">
        <v>15820.7</v>
      </c>
      <c r="N630" t="s">
        <v>29</v>
      </c>
      <c r="O630" t="s">
        <v>24</v>
      </c>
      <c r="P630" t="s">
        <v>42</v>
      </c>
      <c r="Q630">
        <v>38</v>
      </c>
    </row>
    <row r="631" spans="1:17" x14ac:dyDescent="0.3">
      <c r="A631" t="s">
        <v>1267</v>
      </c>
      <c r="B631" t="s">
        <v>576</v>
      </c>
      <c r="C631">
        <v>32.965000000000003</v>
      </c>
      <c r="D631">
        <v>11.78</v>
      </c>
      <c r="E631" t="s">
        <v>19</v>
      </c>
      <c r="F631" t="s">
        <v>19</v>
      </c>
      <c r="G631" t="s">
        <v>19</v>
      </c>
      <c r="H631">
        <v>0</v>
      </c>
      <c r="I631" t="s">
        <v>19</v>
      </c>
      <c r="J631" t="s">
        <v>21</v>
      </c>
      <c r="K631" t="s">
        <v>22</v>
      </c>
      <c r="L631" s="1">
        <v>35712</v>
      </c>
      <c r="M631">
        <v>15817.99</v>
      </c>
      <c r="N631" t="s">
        <v>29</v>
      </c>
      <c r="O631" t="s">
        <v>29</v>
      </c>
      <c r="P631" t="s">
        <v>33</v>
      </c>
      <c r="Q631">
        <v>25</v>
      </c>
    </row>
    <row r="632" spans="1:17" x14ac:dyDescent="0.3">
      <c r="A632" t="s">
        <v>1268</v>
      </c>
      <c r="B632" t="s">
        <v>1269</v>
      </c>
      <c r="C632">
        <v>38.049999999999997</v>
      </c>
      <c r="D632">
        <v>9.6199999999999992</v>
      </c>
      <c r="E632" t="s">
        <v>19</v>
      </c>
      <c r="F632" t="s">
        <v>19</v>
      </c>
      <c r="G632" t="s">
        <v>19</v>
      </c>
      <c r="H632">
        <v>0</v>
      </c>
      <c r="I632" t="s">
        <v>19</v>
      </c>
      <c r="J632" t="s">
        <v>21</v>
      </c>
      <c r="K632" t="s">
        <v>22</v>
      </c>
      <c r="L632" s="1">
        <v>27270</v>
      </c>
      <c r="M632">
        <v>15746.62</v>
      </c>
      <c r="N632" t="s">
        <v>29</v>
      </c>
      <c r="O632" t="s">
        <v>23</v>
      </c>
      <c r="P632" t="s">
        <v>33</v>
      </c>
      <c r="Q632">
        <v>48</v>
      </c>
    </row>
    <row r="633" spans="1:17" x14ac:dyDescent="0.3">
      <c r="A633" t="s">
        <v>1270</v>
      </c>
      <c r="B633" t="s">
        <v>1271</v>
      </c>
      <c r="C633">
        <v>46.14</v>
      </c>
      <c r="D633">
        <v>10.78</v>
      </c>
      <c r="E633" t="s">
        <v>19</v>
      </c>
      <c r="F633" t="s">
        <v>19</v>
      </c>
      <c r="G633" t="s">
        <v>19</v>
      </c>
      <c r="H633">
        <v>0</v>
      </c>
      <c r="I633" t="s">
        <v>19</v>
      </c>
      <c r="J633" t="s">
        <v>21</v>
      </c>
      <c r="K633" t="s">
        <v>22</v>
      </c>
      <c r="L633" s="1">
        <v>28023</v>
      </c>
      <c r="M633">
        <v>15698.86</v>
      </c>
      <c r="N633" t="s">
        <v>29</v>
      </c>
      <c r="O633" t="s">
        <v>29</v>
      </c>
      <c r="P633" t="s">
        <v>33</v>
      </c>
      <c r="Q633">
        <v>46</v>
      </c>
    </row>
    <row r="634" spans="1:17" x14ac:dyDescent="0.3">
      <c r="A634" t="s">
        <v>1272</v>
      </c>
      <c r="B634" t="s">
        <v>1273</v>
      </c>
      <c r="C634">
        <v>41.325000000000003</v>
      </c>
      <c r="D634">
        <v>5.1100000000000003</v>
      </c>
      <c r="E634" t="s">
        <v>32</v>
      </c>
      <c r="F634" t="s">
        <v>19</v>
      </c>
      <c r="G634" t="s">
        <v>19</v>
      </c>
      <c r="H634">
        <v>2</v>
      </c>
      <c r="I634" t="s">
        <v>19</v>
      </c>
      <c r="J634" t="s">
        <v>21</v>
      </c>
      <c r="K634" t="s">
        <v>39</v>
      </c>
      <c r="L634" s="1">
        <v>26841</v>
      </c>
      <c r="M634">
        <v>15670.3</v>
      </c>
      <c r="N634" t="s">
        <v>29</v>
      </c>
      <c r="O634" t="s">
        <v>29</v>
      </c>
      <c r="P634" t="s">
        <v>1000</v>
      </c>
      <c r="Q634">
        <v>49</v>
      </c>
    </row>
    <row r="635" spans="1:17" x14ac:dyDescent="0.3">
      <c r="A635" t="s">
        <v>1274</v>
      </c>
      <c r="B635" t="s">
        <v>1275</v>
      </c>
      <c r="C635">
        <v>44.64</v>
      </c>
      <c r="D635">
        <v>7.18</v>
      </c>
      <c r="E635" t="s">
        <v>19</v>
      </c>
      <c r="F635" t="s">
        <v>19</v>
      </c>
      <c r="G635" t="s">
        <v>19</v>
      </c>
      <c r="H635">
        <v>0</v>
      </c>
      <c r="I635" t="s">
        <v>19</v>
      </c>
      <c r="J635" t="s">
        <v>21</v>
      </c>
      <c r="K635" t="s">
        <v>22</v>
      </c>
      <c r="L635" s="1">
        <v>32499</v>
      </c>
      <c r="M635">
        <v>15646.28</v>
      </c>
      <c r="N635" t="s">
        <v>29</v>
      </c>
      <c r="O635" t="s">
        <v>29</v>
      </c>
      <c r="P635" t="s">
        <v>42</v>
      </c>
      <c r="Q635">
        <v>34</v>
      </c>
    </row>
    <row r="636" spans="1:17" x14ac:dyDescent="0.3">
      <c r="A636" t="s">
        <v>1276</v>
      </c>
      <c r="B636" t="s">
        <v>693</v>
      </c>
      <c r="C636">
        <v>25.175000000000001</v>
      </c>
      <c r="D636">
        <v>4.96</v>
      </c>
      <c r="E636" t="s">
        <v>19</v>
      </c>
      <c r="F636" t="s">
        <v>32</v>
      </c>
      <c r="G636" t="s">
        <v>19</v>
      </c>
      <c r="H636">
        <v>1</v>
      </c>
      <c r="I636" t="s">
        <v>19</v>
      </c>
      <c r="J636" t="s">
        <v>333</v>
      </c>
      <c r="K636" t="s">
        <v>39</v>
      </c>
      <c r="L636" s="1">
        <v>22073</v>
      </c>
      <c r="M636">
        <v>15612.19</v>
      </c>
      <c r="N636" t="s">
        <v>29</v>
      </c>
      <c r="O636" t="s">
        <v>29</v>
      </c>
      <c r="P636" t="s">
        <v>33</v>
      </c>
      <c r="Q636">
        <v>63</v>
      </c>
    </row>
    <row r="637" spans="1:17" x14ac:dyDescent="0.3">
      <c r="A637" t="s">
        <v>1277</v>
      </c>
      <c r="B637" t="s">
        <v>1278</v>
      </c>
      <c r="C637">
        <v>43.11</v>
      </c>
      <c r="D637">
        <v>4.67</v>
      </c>
      <c r="E637" t="s">
        <v>32</v>
      </c>
      <c r="F637" t="s">
        <v>19</v>
      </c>
      <c r="G637" t="s">
        <v>19</v>
      </c>
      <c r="H637">
        <v>0</v>
      </c>
      <c r="I637" t="s">
        <v>19</v>
      </c>
      <c r="J637" t="s">
        <v>21</v>
      </c>
      <c r="K637" t="s">
        <v>39</v>
      </c>
      <c r="L637" s="1">
        <v>24043</v>
      </c>
      <c r="M637">
        <v>15608.58</v>
      </c>
      <c r="N637" t="s">
        <v>29</v>
      </c>
      <c r="O637" t="s">
        <v>29</v>
      </c>
      <c r="P637" t="s">
        <v>1000</v>
      </c>
      <c r="Q637">
        <v>57</v>
      </c>
    </row>
    <row r="638" spans="1:17" x14ac:dyDescent="0.3">
      <c r="A638" t="s">
        <v>1279</v>
      </c>
      <c r="B638" t="s">
        <v>1280</v>
      </c>
      <c r="C638">
        <v>53.32</v>
      </c>
      <c r="D638">
        <v>5.0599999999999996</v>
      </c>
      <c r="E638" t="s">
        <v>19</v>
      </c>
      <c r="F638" t="s">
        <v>19</v>
      </c>
      <c r="G638" t="s">
        <v>19</v>
      </c>
      <c r="H638">
        <v>0</v>
      </c>
      <c r="I638" t="s">
        <v>19</v>
      </c>
      <c r="J638" t="s">
        <v>21</v>
      </c>
      <c r="K638" t="s">
        <v>39</v>
      </c>
      <c r="L638" s="1">
        <v>27240</v>
      </c>
      <c r="M638">
        <v>15556.67</v>
      </c>
      <c r="N638" t="s">
        <v>29</v>
      </c>
      <c r="O638" t="s">
        <v>29</v>
      </c>
      <c r="P638" t="s">
        <v>33</v>
      </c>
      <c r="Q638">
        <v>48</v>
      </c>
    </row>
    <row r="639" spans="1:17" x14ac:dyDescent="0.3">
      <c r="A639" t="s">
        <v>1281</v>
      </c>
      <c r="B639" t="s">
        <v>1282</v>
      </c>
      <c r="C639">
        <v>38.04</v>
      </c>
      <c r="D639">
        <v>5.0199999999999996</v>
      </c>
      <c r="E639" t="s">
        <v>32</v>
      </c>
      <c r="F639" t="s">
        <v>19</v>
      </c>
      <c r="G639" t="s">
        <v>19</v>
      </c>
      <c r="H639">
        <v>1</v>
      </c>
      <c r="I639" t="s">
        <v>19</v>
      </c>
      <c r="J639" t="s">
        <v>21</v>
      </c>
      <c r="K639" t="s">
        <v>39</v>
      </c>
      <c r="L639" s="1">
        <v>21825</v>
      </c>
      <c r="M639">
        <v>15555.19</v>
      </c>
      <c r="N639" t="s">
        <v>29</v>
      </c>
      <c r="O639" t="s">
        <v>24</v>
      </c>
      <c r="P639" t="s">
        <v>33</v>
      </c>
      <c r="Q639">
        <v>63</v>
      </c>
    </row>
    <row r="640" spans="1:17" x14ac:dyDescent="0.3">
      <c r="A640" t="s">
        <v>1283</v>
      </c>
      <c r="B640" t="s">
        <v>1284</v>
      </c>
      <c r="C640">
        <v>37.9</v>
      </c>
      <c r="D640">
        <v>7.76</v>
      </c>
      <c r="E640" t="s">
        <v>19</v>
      </c>
      <c r="F640" t="s">
        <v>19</v>
      </c>
      <c r="G640" t="s">
        <v>19</v>
      </c>
      <c r="H640">
        <v>0</v>
      </c>
      <c r="I640" t="s">
        <v>19</v>
      </c>
      <c r="J640" t="s">
        <v>21</v>
      </c>
      <c r="K640" t="s">
        <v>22</v>
      </c>
      <c r="L640" s="1">
        <v>27208</v>
      </c>
      <c r="M640">
        <v>15532.16</v>
      </c>
      <c r="N640" t="s">
        <v>29</v>
      </c>
      <c r="O640" t="s">
        <v>29</v>
      </c>
      <c r="P640" t="s">
        <v>1000</v>
      </c>
      <c r="Q640">
        <v>48</v>
      </c>
    </row>
    <row r="641" spans="1:17" x14ac:dyDescent="0.3">
      <c r="A641" t="s">
        <v>1285</v>
      </c>
      <c r="B641" t="s">
        <v>35</v>
      </c>
      <c r="C641">
        <v>39.6</v>
      </c>
      <c r="D641">
        <v>9.32</v>
      </c>
      <c r="E641" t="s">
        <v>19</v>
      </c>
      <c r="F641" t="s">
        <v>19</v>
      </c>
      <c r="G641" t="s">
        <v>19</v>
      </c>
      <c r="H641">
        <v>0</v>
      </c>
      <c r="I641" t="s">
        <v>19</v>
      </c>
      <c r="J641" t="s">
        <v>21</v>
      </c>
      <c r="K641" t="s">
        <v>22</v>
      </c>
      <c r="L641" s="1">
        <v>38185</v>
      </c>
      <c r="M641">
        <v>15518.18</v>
      </c>
      <c r="N641" t="s">
        <v>29</v>
      </c>
      <c r="O641" t="s">
        <v>24</v>
      </c>
      <c r="P641" t="s">
        <v>133</v>
      </c>
      <c r="Q641">
        <v>18</v>
      </c>
    </row>
    <row r="642" spans="1:17" x14ac:dyDescent="0.3">
      <c r="A642" t="s">
        <v>1286</v>
      </c>
      <c r="B642" t="s">
        <v>1287</v>
      </c>
      <c r="C642">
        <v>50.92</v>
      </c>
      <c r="D642">
        <v>5.31</v>
      </c>
      <c r="E642" t="s">
        <v>32</v>
      </c>
      <c r="F642" t="s">
        <v>19</v>
      </c>
      <c r="G642" t="s">
        <v>19</v>
      </c>
      <c r="H642">
        <v>1</v>
      </c>
      <c r="I642" t="s">
        <v>19</v>
      </c>
      <c r="J642" t="s">
        <v>21</v>
      </c>
      <c r="K642" t="s">
        <v>39</v>
      </c>
      <c r="L642" s="1">
        <v>27961</v>
      </c>
      <c r="M642">
        <v>15450.48</v>
      </c>
      <c r="N642" t="s">
        <v>29</v>
      </c>
      <c r="O642" t="s">
        <v>23</v>
      </c>
      <c r="P642" t="s">
        <v>1000</v>
      </c>
      <c r="Q642">
        <v>46</v>
      </c>
    </row>
    <row r="643" spans="1:17" x14ac:dyDescent="0.3">
      <c r="A643" t="s">
        <v>1288</v>
      </c>
      <c r="B643" t="s">
        <v>161</v>
      </c>
      <c r="C643">
        <v>21.85</v>
      </c>
      <c r="D643">
        <v>5.56</v>
      </c>
      <c r="E643" t="s">
        <v>32</v>
      </c>
      <c r="F643" t="s">
        <v>19</v>
      </c>
      <c r="G643" t="s">
        <v>19</v>
      </c>
      <c r="H643">
        <v>0</v>
      </c>
      <c r="I643" t="s">
        <v>20</v>
      </c>
      <c r="J643" t="s">
        <v>482</v>
      </c>
      <c r="K643" t="s">
        <v>39</v>
      </c>
      <c r="L643" s="1">
        <v>33171</v>
      </c>
      <c r="M643">
        <v>15440.2</v>
      </c>
      <c r="N643" t="s">
        <v>29</v>
      </c>
      <c r="O643" t="s">
        <v>23</v>
      </c>
      <c r="P643" t="s">
        <v>33</v>
      </c>
      <c r="Q643">
        <v>32</v>
      </c>
    </row>
    <row r="644" spans="1:17" x14ac:dyDescent="0.3">
      <c r="A644" t="s">
        <v>1289</v>
      </c>
      <c r="B644" t="s">
        <v>1290</v>
      </c>
      <c r="C644">
        <v>36.08</v>
      </c>
      <c r="D644">
        <v>7.11</v>
      </c>
      <c r="E644" t="s">
        <v>32</v>
      </c>
      <c r="F644" t="s">
        <v>19</v>
      </c>
      <c r="G644" t="s">
        <v>20</v>
      </c>
      <c r="H644">
        <v>1</v>
      </c>
      <c r="I644" t="s">
        <v>19</v>
      </c>
      <c r="J644" t="s">
        <v>21</v>
      </c>
      <c r="K644" t="s">
        <v>22</v>
      </c>
      <c r="L644" s="1">
        <v>23624</v>
      </c>
      <c r="M644">
        <v>15377.77</v>
      </c>
      <c r="N644" t="s">
        <v>29</v>
      </c>
      <c r="O644" t="s">
        <v>29</v>
      </c>
      <c r="P644" t="s">
        <v>33</v>
      </c>
      <c r="Q644">
        <v>58</v>
      </c>
    </row>
    <row r="645" spans="1:17" x14ac:dyDescent="0.3">
      <c r="A645" t="s">
        <v>1291</v>
      </c>
      <c r="B645" t="s">
        <v>1292</v>
      </c>
      <c r="C645">
        <v>40.44</v>
      </c>
      <c r="D645">
        <v>5.13</v>
      </c>
      <c r="E645" t="s">
        <v>32</v>
      </c>
      <c r="F645" t="s">
        <v>19</v>
      </c>
      <c r="G645" t="s">
        <v>20</v>
      </c>
      <c r="H645">
        <v>1</v>
      </c>
      <c r="I645" t="s">
        <v>19</v>
      </c>
      <c r="J645" t="s">
        <v>21</v>
      </c>
      <c r="K645" t="s">
        <v>39</v>
      </c>
      <c r="L645" s="1">
        <v>22895</v>
      </c>
      <c r="M645">
        <v>15368.22</v>
      </c>
      <c r="N645" t="s">
        <v>29</v>
      </c>
      <c r="O645" t="s">
        <v>29</v>
      </c>
      <c r="P645" t="s">
        <v>42</v>
      </c>
      <c r="Q645">
        <v>60</v>
      </c>
    </row>
    <row r="646" spans="1:17" x14ac:dyDescent="0.3">
      <c r="A646" t="s">
        <v>1293</v>
      </c>
      <c r="B646" t="s">
        <v>1294</v>
      </c>
      <c r="C646">
        <v>38.094999999999999</v>
      </c>
      <c r="D646">
        <v>10.199999999999999</v>
      </c>
      <c r="E646" t="s">
        <v>19</v>
      </c>
      <c r="F646" t="s">
        <v>19</v>
      </c>
      <c r="G646" t="s">
        <v>19</v>
      </c>
      <c r="H646">
        <v>0</v>
      </c>
      <c r="I646" t="s">
        <v>19</v>
      </c>
      <c r="J646" t="s">
        <v>21</v>
      </c>
      <c r="K646" t="s">
        <v>22</v>
      </c>
      <c r="L646" s="1">
        <v>25037</v>
      </c>
      <c r="M646">
        <v>15363.77</v>
      </c>
      <c r="N646" t="s">
        <v>29</v>
      </c>
      <c r="O646" t="s">
        <v>23</v>
      </c>
      <c r="P646" t="s">
        <v>1000</v>
      </c>
      <c r="Q646">
        <v>54</v>
      </c>
    </row>
    <row r="647" spans="1:17" x14ac:dyDescent="0.3">
      <c r="A647" t="s">
        <v>1295</v>
      </c>
      <c r="B647" t="s">
        <v>1296</v>
      </c>
      <c r="C647">
        <v>44.95</v>
      </c>
      <c r="D647">
        <v>10.4</v>
      </c>
      <c r="E647" t="s">
        <v>19</v>
      </c>
      <c r="F647" t="s">
        <v>19</v>
      </c>
      <c r="G647" t="s">
        <v>19</v>
      </c>
      <c r="H647">
        <v>0</v>
      </c>
      <c r="I647" t="s">
        <v>19</v>
      </c>
      <c r="J647" t="s">
        <v>21</v>
      </c>
      <c r="K647" t="s">
        <v>22</v>
      </c>
      <c r="L647" s="1">
        <v>32494</v>
      </c>
      <c r="M647">
        <v>15361.5</v>
      </c>
      <c r="N647" t="s">
        <v>29</v>
      </c>
      <c r="O647" t="s">
        <v>24</v>
      </c>
      <c r="P647" t="s">
        <v>354</v>
      </c>
      <c r="Q647">
        <v>34</v>
      </c>
    </row>
    <row r="648" spans="1:17" x14ac:dyDescent="0.3">
      <c r="A648" t="s">
        <v>1297</v>
      </c>
      <c r="B648" t="s">
        <v>1298</v>
      </c>
      <c r="C648">
        <v>35.54</v>
      </c>
      <c r="D648">
        <v>10.67</v>
      </c>
      <c r="E648" t="s">
        <v>19</v>
      </c>
      <c r="F648" t="s">
        <v>19</v>
      </c>
      <c r="G648" t="s">
        <v>19</v>
      </c>
      <c r="H648">
        <v>0</v>
      </c>
      <c r="I648" t="s">
        <v>19</v>
      </c>
      <c r="J648" t="s">
        <v>21</v>
      </c>
      <c r="K648" t="s">
        <v>22</v>
      </c>
      <c r="L648" s="1">
        <v>37086</v>
      </c>
      <c r="M648">
        <v>15359.1</v>
      </c>
      <c r="N648" t="s">
        <v>29</v>
      </c>
      <c r="O648" t="s">
        <v>24</v>
      </c>
      <c r="P648" t="s">
        <v>36</v>
      </c>
      <c r="Q648">
        <v>21</v>
      </c>
    </row>
    <row r="649" spans="1:17" x14ac:dyDescent="0.3">
      <c r="A649" t="s">
        <v>1299</v>
      </c>
      <c r="B649" t="s">
        <v>1300</v>
      </c>
      <c r="C649">
        <v>39.799999999999997</v>
      </c>
      <c r="D649">
        <v>4.6500000000000004</v>
      </c>
      <c r="E649" t="s">
        <v>32</v>
      </c>
      <c r="F649" t="s">
        <v>19</v>
      </c>
      <c r="G649" t="s">
        <v>19</v>
      </c>
      <c r="H649">
        <v>2</v>
      </c>
      <c r="I649" t="s">
        <v>19</v>
      </c>
      <c r="J649" t="s">
        <v>21</v>
      </c>
      <c r="K649" t="s">
        <v>39</v>
      </c>
      <c r="L649" s="1">
        <v>23358</v>
      </c>
      <c r="M649">
        <v>15322.77</v>
      </c>
      <c r="N649" t="s">
        <v>29</v>
      </c>
      <c r="O649" t="s">
        <v>24</v>
      </c>
      <c r="P649" t="s">
        <v>1301</v>
      </c>
      <c r="Q649">
        <v>59</v>
      </c>
    </row>
    <row r="650" spans="1:17" x14ac:dyDescent="0.3">
      <c r="A650" t="s">
        <v>1302</v>
      </c>
      <c r="B650" t="s">
        <v>1303</v>
      </c>
      <c r="C650">
        <v>33.659999999999997</v>
      </c>
      <c r="D650">
        <v>5.65</v>
      </c>
      <c r="E650" t="s">
        <v>32</v>
      </c>
      <c r="F650" t="s">
        <v>19</v>
      </c>
      <c r="G650" t="s">
        <v>19</v>
      </c>
      <c r="H650">
        <v>2</v>
      </c>
      <c r="I650" t="s">
        <v>19</v>
      </c>
      <c r="J650" t="s">
        <v>21</v>
      </c>
      <c r="K650" t="s">
        <v>39</v>
      </c>
      <c r="L650" s="1">
        <v>25462</v>
      </c>
      <c r="M650">
        <v>15260.52</v>
      </c>
      <c r="N650" t="s">
        <v>29</v>
      </c>
      <c r="O650" t="s">
        <v>29</v>
      </c>
      <c r="P650" t="s">
        <v>354</v>
      </c>
      <c r="Q650">
        <v>53</v>
      </c>
    </row>
    <row r="651" spans="1:17" x14ac:dyDescent="0.3">
      <c r="A651" t="s">
        <v>1304</v>
      </c>
      <c r="B651" t="s">
        <v>1305</v>
      </c>
      <c r="C651">
        <v>35.5</v>
      </c>
      <c r="D651">
        <v>11.97</v>
      </c>
      <c r="E651" t="s">
        <v>19</v>
      </c>
      <c r="F651" t="s">
        <v>19</v>
      </c>
      <c r="G651" t="s">
        <v>19</v>
      </c>
      <c r="H651">
        <v>0</v>
      </c>
      <c r="I651" t="s">
        <v>19</v>
      </c>
      <c r="J651" t="s">
        <v>21</v>
      </c>
      <c r="K651" t="s">
        <v>22</v>
      </c>
      <c r="L651" s="1">
        <v>22122</v>
      </c>
      <c r="M651">
        <v>15230.32</v>
      </c>
      <c r="N651" t="s">
        <v>29</v>
      </c>
      <c r="O651" t="s">
        <v>29</v>
      </c>
      <c r="P651" t="s">
        <v>36</v>
      </c>
      <c r="Q651">
        <v>62</v>
      </c>
    </row>
    <row r="652" spans="1:17" x14ac:dyDescent="0.3">
      <c r="A652" t="s">
        <v>1306</v>
      </c>
      <c r="B652" t="s">
        <v>1307</v>
      </c>
      <c r="C652">
        <v>41.63</v>
      </c>
      <c r="D652">
        <v>6.71</v>
      </c>
      <c r="E652" t="s">
        <v>19</v>
      </c>
      <c r="F652" t="s">
        <v>19</v>
      </c>
      <c r="G652" t="s">
        <v>19</v>
      </c>
      <c r="H652">
        <v>0</v>
      </c>
      <c r="I652" t="s">
        <v>19</v>
      </c>
      <c r="J652" t="s">
        <v>21</v>
      </c>
      <c r="K652" t="s">
        <v>22</v>
      </c>
      <c r="L652" s="1">
        <v>28817</v>
      </c>
      <c r="M652">
        <v>15207.92</v>
      </c>
      <c r="N652" t="s">
        <v>29</v>
      </c>
      <c r="O652" t="s">
        <v>23</v>
      </c>
      <c r="P652" t="s">
        <v>33</v>
      </c>
      <c r="Q652">
        <v>44</v>
      </c>
    </row>
    <row r="653" spans="1:17" x14ac:dyDescent="0.3">
      <c r="A653" t="s">
        <v>1308</v>
      </c>
      <c r="B653" t="s">
        <v>1309</v>
      </c>
      <c r="C653">
        <v>46.49</v>
      </c>
      <c r="D653">
        <v>11.92</v>
      </c>
      <c r="E653" t="s">
        <v>19</v>
      </c>
      <c r="F653" t="s">
        <v>19</v>
      </c>
      <c r="G653" t="s">
        <v>19</v>
      </c>
      <c r="H653">
        <v>0</v>
      </c>
      <c r="I653" t="s">
        <v>19</v>
      </c>
      <c r="J653" t="s">
        <v>21</v>
      </c>
      <c r="K653" t="s">
        <v>22</v>
      </c>
      <c r="L653" s="1">
        <v>22814</v>
      </c>
      <c r="M653">
        <v>15174.81</v>
      </c>
      <c r="N653" t="s">
        <v>29</v>
      </c>
      <c r="O653" t="s">
        <v>23</v>
      </c>
      <c r="P653" t="s">
        <v>33</v>
      </c>
      <c r="Q653">
        <v>60</v>
      </c>
    </row>
    <row r="654" spans="1:17" x14ac:dyDescent="0.3">
      <c r="A654" t="s">
        <v>1310</v>
      </c>
      <c r="B654" t="s">
        <v>1311</v>
      </c>
      <c r="C654">
        <v>43.29</v>
      </c>
      <c r="D654">
        <v>5.35</v>
      </c>
      <c r="E654" t="s">
        <v>19</v>
      </c>
      <c r="F654" t="s">
        <v>19</v>
      </c>
      <c r="G654" t="s">
        <v>19</v>
      </c>
      <c r="H654">
        <v>2</v>
      </c>
      <c r="I654" t="s">
        <v>19</v>
      </c>
      <c r="J654" t="s">
        <v>21</v>
      </c>
      <c r="K654" t="s">
        <v>39</v>
      </c>
      <c r="L654" s="1">
        <v>21887</v>
      </c>
      <c r="M654">
        <v>15170.07</v>
      </c>
      <c r="N654" t="s">
        <v>29</v>
      </c>
      <c r="O654" t="s">
        <v>24</v>
      </c>
      <c r="P654" t="s">
        <v>42</v>
      </c>
      <c r="Q654">
        <v>63</v>
      </c>
    </row>
    <row r="655" spans="1:17" x14ac:dyDescent="0.3">
      <c r="A655" t="s">
        <v>1312</v>
      </c>
      <c r="B655" t="s">
        <v>1313</v>
      </c>
      <c r="C655">
        <v>43.08</v>
      </c>
      <c r="D655">
        <v>8.9600000000000009</v>
      </c>
      <c r="E655" t="s">
        <v>32</v>
      </c>
      <c r="F655" t="s">
        <v>19</v>
      </c>
      <c r="G655" t="s">
        <v>19</v>
      </c>
      <c r="H655">
        <v>1</v>
      </c>
      <c r="I655" t="s">
        <v>19</v>
      </c>
      <c r="J655" t="s">
        <v>21</v>
      </c>
      <c r="K655" t="s">
        <v>22</v>
      </c>
      <c r="L655" s="1">
        <v>21705</v>
      </c>
      <c r="M655">
        <v>15161.53</v>
      </c>
      <c r="N655" t="s">
        <v>29</v>
      </c>
      <c r="O655" t="s">
        <v>23</v>
      </c>
      <c r="P655" t="s">
        <v>25</v>
      </c>
      <c r="Q655">
        <v>64</v>
      </c>
    </row>
    <row r="656" spans="1:17" x14ac:dyDescent="0.3">
      <c r="A656" t="s">
        <v>1314</v>
      </c>
      <c r="B656" t="s">
        <v>1315</v>
      </c>
      <c r="C656">
        <v>39.07</v>
      </c>
      <c r="D656">
        <v>11.93</v>
      </c>
      <c r="E656" t="s">
        <v>19</v>
      </c>
      <c r="F656" t="s">
        <v>19</v>
      </c>
      <c r="G656" t="s">
        <v>19</v>
      </c>
      <c r="H656">
        <v>0</v>
      </c>
      <c r="I656" t="s">
        <v>19</v>
      </c>
      <c r="J656" t="s">
        <v>21</v>
      </c>
      <c r="K656" t="s">
        <v>22</v>
      </c>
      <c r="L656" s="1">
        <v>22944</v>
      </c>
      <c r="M656">
        <v>15161.25</v>
      </c>
      <c r="N656" t="s">
        <v>29</v>
      </c>
      <c r="O656" t="s">
        <v>29</v>
      </c>
      <c r="P656" t="s">
        <v>33</v>
      </c>
      <c r="Q656">
        <v>60</v>
      </c>
    </row>
    <row r="657" spans="1:17" x14ac:dyDescent="0.3">
      <c r="A657" t="s">
        <v>1316</v>
      </c>
      <c r="B657" t="s">
        <v>1317</v>
      </c>
      <c r="C657">
        <v>41.3</v>
      </c>
      <c r="D657">
        <v>9.59</v>
      </c>
      <c r="E657" t="s">
        <v>19</v>
      </c>
      <c r="F657" t="s">
        <v>19</v>
      </c>
      <c r="G657" t="s">
        <v>19</v>
      </c>
      <c r="H657">
        <v>0</v>
      </c>
      <c r="I657" t="s">
        <v>19</v>
      </c>
      <c r="J657" t="s">
        <v>21</v>
      </c>
      <c r="K657" t="s">
        <v>22</v>
      </c>
      <c r="L657" s="1">
        <v>26262</v>
      </c>
      <c r="M657">
        <v>15150.44</v>
      </c>
      <c r="N657" t="s">
        <v>29</v>
      </c>
      <c r="O657" t="s">
        <v>23</v>
      </c>
      <c r="P657" t="s">
        <v>354</v>
      </c>
      <c r="Q657">
        <v>51</v>
      </c>
    </row>
    <row r="658" spans="1:17" x14ac:dyDescent="0.3">
      <c r="A658" t="s">
        <v>1318</v>
      </c>
      <c r="B658" t="s">
        <v>1319</v>
      </c>
      <c r="C658">
        <v>42.95</v>
      </c>
      <c r="D658">
        <v>11.88</v>
      </c>
      <c r="E658" t="s">
        <v>32</v>
      </c>
      <c r="F658" t="s">
        <v>19</v>
      </c>
      <c r="G658" t="s">
        <v>19</v>
      </c>
      <c r="H658">
        <v>2</v>
      </c>
      <c r="I658" t="s">
        <v>19</v>
      </c>
      <c r="J658" t="s">
        <v>21</v>
      </c>
      <c r="K658" t="s">
        <v>22</v>
      </c>
      <c r="L658" s="1">
        <v>28738</v>
      </c>
      <c r="M658">
        <v>15123.19</v>
      </c>
      <c r="N658" t="s">
        <v>29</v>
      </c>
      <c r="O658" t="s">
        <v>23</v>
      </c>
      <c r="P658" t="s">
        <v>42</v>
      </c>
      <c r="Q658">
        <v>44</v>
      </c>
    </row>
    <row r="659" spans="1:17" x14ac:dyDescent="0.3">
      <c r="A659" t="s">
        <v>1320</v>
      </c>
      <c r="B659" t="s">
        <v>1321</v>
      </c>
      <c r="C659">
        <v>46.96</v>
      </c>
      <c r="D659">
        <v>4.6399999999999997</v>
      </c>
      <c r="E659" t="s">
        <v>19</v>
      </c>
      <c r="F659" t="s">
        <v>19</v>
      </c>
      <c r="G659" t="s">
        <v>20</v>
      </c>
      <c r="H659">
        <v>1</v>
      </c>
      <c r="I659" t="s">
        <v>19</v>
      </c>
      <c r="J659" t="s">
        <v>21</v>
      </c>
      <c r="K659" t="s">
        <v>39</v>
      </c>
      <c r="L659" s="1">
        <v>26610</v>
      </c>
      <c r="M659">
        <v>15103.69</v>
      </c>
      <c r="N659" t="s">
        <v>29</v>
      </c>
      <c r="O659" t="s">
        <v>23</v>
      </c>
      <c r="P659" t="s">
        <v>33</v>
      </c>
      <c r="Q659">
        <v>50</v>
      </c>
    </row>
    <row r="660" spans="1:17" x14ac:dyDescent="0.3">
      <c r="A660" t="s">
        <v>1322</v>
      </c>
      <c r="B660" t="s">
        <v>1323</v>
      </c>
      <c r="C660">
        <v>30.495000000000001</v>
      </c>
      <c r="D660">
        <v>9.5299999999999994</v>
      </c>
      <c r="E660" t="s">
        <v>19</v>
      </c>
      <c r="F660" t="s">
        <v>19</v>
      </c>
      <c r="G660" t="s">
        <v>19</v>
      </c>
      <c r="H660">
        <v>0</v>
      </c>
      <c r="I660" t="s">
        <v>19</v>
      </c>
      <c r="J660" t="s">
        <v>21</v>
      </c>
      <c r="K660" t="s">
        <v>22</v>
      </c>
      <c r="L660" s="1">
        <v>27693</v>
      </c>
      <c r="M660">
        <v>15090.35</v>
      </c>
      <c r="N660" t="s">
        <v>29</v>
      </c>
      <c r="O660" t="s">
        <v>23</v>
      </c>
      <c r="P660" t="s">
        <v>354</v>
      </c>
      <c r="Q660">
        <v>47</v>
      </c>
    </row>
    <row r="661" spans="1:17" x14ac:dyDescent="0.3">
      <c r="A661" t="s">
        <v>1324</v>
      </c>
      <c r="B661" t="s">
        <v>1325</v>
      </c>
      <c r="C661">
        <v>17.954999999999998</v>
      </c>
      <c r="D661">
        <v>5.29</v>
      </c>
      <c r="E661" t="s">
        <v>32</v>
      </c>
      <c r="F661" t="s">
        <v>19</v>
      </c>
      <c r="G661" t="s">
        <v>19</v>
      </c>
      <c r="H661">
        <v>1</v>
      </c>
      <c r="I661" t="s">
        <v>20</v>
      </c>
      <c r="J661" t="s">
        <v>592</v>
      </c>
      <c r="K661" t="s">
        <v>39</v>
      </c>
      <c r="L661" s="1">
        <v>25001</v>
      </c>
      <c r="M661">
        <v>15052.68</v>
      </c>
      <c r="N661" t="s">
        <v>29</v>
      </c>
      <c r="O661" t="s">
        <v>29</v>
      </c>
      <c r="P661" t="s">
        <v>1262</v>
      </c>
      <c r="Q661">
        <v>54</v>
      </c>
    </row>
    <row r="662" spans="1:17" x14ac:dyDescent="0.3">
      <c r="A662" t="s">
        <v>1326</v>
      </c>
      <c r="B662" t="s">
        <v>1327</v>
      </c>
      <c r="C662">
        <v>25.6</v>
      </c>
      <c r="D662">
        <v>10.95</v>
      </c>
      <c r="E662" t="s">
        <v>19</v>
      </c>
      <c r="F662" t="s">
        <v>19</v>
      </c>
      <c r="G662" t="s">
        <v>19</v>
      </c>
      <c r="H662">
        <v>3</v>
      </c>
      <c r="I662" t="s">
        <v>19</v>
      </c>
      <c r="J662" t="s">
        <v>333</v>
      </c>
      <c r="K662" t="s">
        <v>22</v>
      </c>
      <c r="L662" s="1">
        <v>26160</v>
      </c>
      <c r="M662">
        <v>15038.51</v>
      </c>
      <c r="N662" t="s">
        <v>29</v>
      </c>
      <c r="O662" t="s">
        <v>24</v>
      </c>
      <c r="P662" t="s">
        <v>354</v>
      </c>
      <c r="Q662">
        <v>51</v>
      </c>
    </row>
    <row r="663" spans="1:17" x14ac:dyDescent="0.3">
      <c r="A663" t="s">
        <v>1328</v>
      </c>
      <c r="B663" t="s">
        <v>1329</v>
      </c>
      <c r="C663">
        <v>34.21</v>
      </c>
      <c r="D663">
        <v>9.17</v>
      </c>
      <c r="E663" t="s">
        <v>19</v>
      </c>
      <c r="F663" t="s">
        <v>19</v>
      </c>
      <c r="G663" t="s">
        <v>19</v>
      </c>
      <c r="H663">
        <v>0</v>
      </c>
      <c r="I663" t="s">
        <v>19</v>
      </c>
      <c r="J663" t="s">
        <v>21</v>
      </c>
      <c r="K663" t="s">
        <v>22</v>
      </c>
      <c r="L663" s="1">
        <v>25822</v>
      </c>
      <c r="M663">
        <v>15026.3</v>
      </c>
      <c r="N663" t="s">
        <v>29</v>
      </c>
      <c r="O663" t="s">
        <v>24</v>
      </c>
      <c r="P663" t="s">
        <v>42</v>
      </c>
      <c r="Q663">
        <v>52</v>
      </c>
    </row>
    <row r="664" spans="1:17" x14ac:dyDescent="0.3">
      <c r="A664" t="s">
        <v>1330</v>
      </c>
      <c r="B664" t="s">
        <v>1331</v>
      </c>
      <c r="C664">
        <v>39.74</v>
      </c>
      <c r="D664">
        <v>7.39</v>
      </c>
      <c r="E664" t="s">
        <v>19</v>
      </c>
      <c r="F664" t="s">
        <v>19</v>
      </c>
      <c r="G664" t="s">
        <v>19</v>
      </c>
      <c r="H664">
        <v>0</v>
      </c>
      <c r="I664" t="s">
        <v>19</v>
      </c>
      <c r="J664" t="s">
        <v>21</v>
      </c>
      <c r="K664" t="s">
        <v>22</v>
      </c>
      <c r="L664" s="1">
        <v>29184</v>
      </c>
      <c r="M664">
        <v>15025.76</v>
      </c>
      <c r="N664" t="s">
        <v>29</v>
      </c>
      <c r="O664" t="s">
        <v>23</v>
      </c>
      <c r="P664" t="s">
        <v>42</v>
      </c>
      <c r="Q664">
        <v>43</v>
      </c>
    </row>
    <row r="665" spans="1:17" x14ac:dyDescent="0.3">
      <c r="A665" t="s">
        <v>1332</v>
      </c>
      <c r="B665" t="s">
        <v>1333</v>
      </c>
      <c r="C665">
        <v>49.53</v>
      </c>
      <c r="D665">
        <v>9.1300000000000008</v>
      </c>
      <c r="E665" t="s">
        <v>32</v>
      </c>
      <c r="F665" t="s">
        <v>19</v>
      </c>
      <c r="G665" t="s">
        <v>19</v>
      </c>
      <c r="H665">
        <v>0</v>
      </c>
      <c r="I665" t="s">
        <v>19</v>
      </c>
      <c r="J665" t="s">
        <v>21</v>
      </c>
      <c r="K665" t="s">
        <v>22</v>
      </c>
      <c r="L665" s="1">
        <v>22136</v>
      </c>
      <c r="M665">
        <v>15019.76</v>
      </c>
      <c r="N665" t="s">
        <v>29</v>
      </c>
      <c r="O665" t="s">
        <v>29</v>
      </c>
      <c r="P665" t="s">
        <v>33</v>
      </c>
      <c r="Q665">
        <v>62</v>
      </c>
    </row>
    <row r="666" spans="1:17" x14ac:dyDescent="0.3">
      <c r="A666" t="s">
        <v>1334</v>
      </c>
      <c r="B666" t="s">
        <v>1335</v>
      </c>
      <c r="C666">
        <v>39.33</v>
      </c>
      <c r="D666">
        <v>10.4</v>
      </c>
      <c r="E666" t="s">
        <v>19</v>
      </c>
      <c r="F666" t="s">
        <v>19</v>
      </c>
      <c r="G666" t="s">
        <v>19</v>
      </c>
      <c r="H666">
        <v>3</v>
      </c>
      <c r="I666" t="s">
        <v>19</v>
      </c>
      <c r="J666" t="s">
        <v>21</v>
      </c>
      <c r="K666" t="s">
        <v>22</v>
      </c>
      <c r="L666" s="1">
        <v>34913</v>
      </c>
      <c r="M666">
        <v>15006.58</v>
      </c>
      <c r="N666" t="s">
        <v>29</v>
      </c>
      <c r="O666" t="s">
        <v>29</v>
      </c>
      <c r="P666" t="s">
        <v>36</v>
      </c>
      <c r="Q666">
        <v>27</v>
      </c>
    </row>
    <row r="667" spans="1:17" x14ac:dyDescent="0.3">
      <c r="A667" t="s">
        <v>1336</v>
      </c>
      <c r="B667" t="s">
        <v>1337</v>
      </c>
      <c r="C667">
        <v>39.979999999999997</v>
      </c>
      <c r="D667">
        <v>9.4600000000000009</v>
      </c>
      <c r="E667" t="s">
        <v>32</v>
      </c>
      <c r="F667" t="s">
        <v>19</v>
      </c>
      <c r="G667" t="s">
        <v>19</v>
      </c>
      <c r="H667">
        <v>2</v>
      </c>
      <c r="I667" t="s">
        <v>19</v>
      </c>
      <c r="J667" t="s">
        <v>21</v>
      </c>
      <c r="K667" t="s">
        <v>22</v>
      </c>
      <c r="L667" s="1">
        <v>21395</v>
      </c>
      <c r="M667">
        <v>14988.43</v>
      </c>
      <c r="N667" t="s">
        <v>29</v>
      </c>
      <c r="O667" t="s">
        <v>24</v>
      </c>
      <c r="P667" t="s">
        <v>42</v>
      </c>
      <c r="Q667">
        <v>64</v>
      </c>
    </row>
    <row r="668" spans="1:17" x14ac:dyDescent="0.3">
      <c r="A668" t="s">
        <v>1338</v>
      </c>
      <c r="B668" t="s">
        <v>1339</v>
      </c>
      <c r="C668">
        <v>46.51</v>
      </c>
      <c r="D668">
        <v>8.69</v>
      </c>
      <c r="E668" t="s">
        <v>32</v>
      </c>
      <c r="F668" t="s">
        <v>19</v>
      </c>
      <c r="G668" t="s">
        <v>19</v>
      </c>
      <c r="H668">
        <v>0</v>
      </c>
      <c r="I668" t="s">
        <v>19</v>
      </c>
      <c r="J668" t="s">
        <v>21</v>
      </c>
      <c r="K668" t="s">
        <v>22</v>
      </c>
      <c r="L668" s="1">
        <v>22979</v>
      </c>
      <c r="M668">
        <v>14945.34</v>
      </c>
      <c r="N668" t="s">
        <v>29</v>
      </c>
      <c r="O668" t="s">
        <v>23</v>
      </c>
      <c r="P668" t="s">
        <v>1301</v>
      </c>
      <c r="Q668">
        <v>60</v>
      </c>
    </row>
    <row r="669" spans="1:17" x14ac:dyDescent="0.3">
      <c r="A669" t="s">
        <v>1340</v>
      </c>
      <c r="B669" t="s">
        <v>1341</v>
      </c>
      <c r="C669">
        <v>43.58</v>
      </c>
      <c r="D669">
        <v>4.2300000000000004</v>
      </c>
      <c r="E669" t="s">
        <v>19</v>
      </c>
      <c r="F669" t="s">
        <v>19</v>
      </c>
      <c r="G669" t="s">
        <v>20</v>
      </c>
      <c r="H669">
        <v>1</v>
      </c>
      <c r="I669" t="s">
        <v>19</v>
      </c>
      <c r="J669" t="s">
        <v>21</v>
      </c>
      <c r="K669" t="s">
        <v>39</v>
      </c>
      <c r="L669" s="1">
        <v>25150</v>
      </c>
      <c r="M669">
        <v>14926.97</v>
      </c>
      <c r="N669" t="s">
        <v>29</v>
      </c>
      <c r="O669" t="s">
        <v>29</v>
      </c>
      <c r="P669" t="s">
        <v>33</v>
      </c>
      <c r="Q669">
        <v>54</v>
      </c>
    </row>
    <row r="670" spans="1:17" x14ac:dyDescent="0.3">
      <c r="A670" t="s">
        <v>1342</v>
      </c>
      <c r="B670" t="s">
        <v>1343</v>
      </c>
      <c r="C670">
        <v>42.28</v>
      </c>
      <c r="D670">
        <v>9.16</v>
      </c>
      <c r="E670" t="s">
        <v>32</v>
      </c>
      <c r="F670" t="s">
        <v>19</v>
      </c>
      <c r="G670" t="s">
        <v>19</v>
      </c>
      <c r="H670">
        <v>1</v>
      </c>
      <c r="I670" t="s">
        <v>19</v>
      </c>
      <c r="J670" t="s">
        <v>21</v>
      </c>
      <c r="K670" t="s">
        <v>22</v>
      </c>
      <c r="L670" s="1">
        <v>29771</v>
      </c>
      <c r="M670">
        <v>14908.27</v>
      </c>
      <c r="N670" t="s">
        <v>29</v>
      </c>
      <c r="O670" t="s">
        <v>23</v>
      </c>
      <c r="P670" t="s">
        <v>42</v>
      </c>
      <c r="Q670">
        <v>41</v>
      </c>
    </row>
    <row r="671" spans="1:17" x14ac:dyDescent="0.3">
      <c r="A671" t="s">
        <v>1344</v>
      </c>
      <c r="B671" t="s">
        <v>759</v>
      </c>
      <c r="C671">
        <v>35.520000000000003</v>
      </c>
      <c r="D671">
        <v>8.26</v>
      </c>
      <c r="E671" t="s">
        <v>19</v>
      </c>
      <c r="F671" t="s">
        <v>19</v>
      </c>
      <c r="G671" t="s">
        <v>19</v>
      </c>
      <c r="H671">
        <v>0</v>
      </c>
      <c r="I671" t="s">
        <v>19</v>
      </c>
      <c r="J671" t="s">
        <v>21</v>
      </c>
      <c r="K671" t="s">
        <v>22</v>
      </c>
      <c r="L671" s="1">
        <v>21475</v>
      </c>
      <c r="M671">
        <v>14901.52</v>
      </c>
      <c r="N671" t="s">
        <v>29</v>
      </c>
      <c r="O671" t="s">
        <v>29</v>
      </c>
      <c r="P671" t="s">
        <v>36</v>
      </c>
      <c r="Q671">
        <v>64</v>
      </c>
    </row>
    <row r="672" spans="1:17" x14ac:dyDescent="0.3">
      <c r="A672" t="s">
        <v>1345</v>
      </c>
      <c r="B672" t="s">
        <v>1346</v>
      </c>
      <c r="C672">
        <v>33.6</v>
      </c>
      <c r="D672">
        <v>11.25</v>
      </c>
      <c r="E672" t="s">
        <v>19</v>
      </c>
      <c r="F672" t="s">
        <v>19</v>
      </c>
      <c r="G672" t="s">
        <v>19</v>
      </c>
      <c r="H672">
        <v>0</v>
      </c>
      <c r="I672" t="s">
        <v>19</v>
      </c>
      <c r="J672" t="s">
        <v>21</v>
      </c>
      <c r="K672" t="s">
        <v>22</v>
      </c>
      <c r="L672" s="1">
        <v>25883</v>
      </c>
      <c r="M672">
        <v>14847.63</v>
      </c>
      <c r="N672" t="s">
        <v>29</v>
      </c>
      <c r="O672" t="s">
        <v>29</v>
      </c>
      <c r="P672" t="s">
        <v>354</v>
      </c>
      <c r="Q672">
        <v>52</v>
      </c>
    </row>
    <row r="673" spans="1:17" x14ac:dyDescent="0.3">
      <c r="A673" t="s">
        <v>1347</v>
      </c>
      <c r="B673" t="s">
        <v>1348</v>
      </c>
      <c r="C673">
        <v>22.42</v>
      </c>
      <c r="D673">
        <v>6.74</v>
      </c>
      <c r="E673" t="s">
        <v>19</v>
      </c>
      <c r="F673" t="s">
        <v>19</v>
      </c>
      <c r="G673" t="s">
        <v>19</v>
      </c>
      <c r="H673">
        <v>0</v>
      </c>
      <c r="I673" t="s">
        <v>20</v>
      </c>
      <c r="J673" t="s">
        <v>482</v>
      </c>
      <c r="K673" t="s">
        <v>22</v>
      </c>
      <c r="L673" s="1">
        <v>29742</v>
      </c>
      <c r="M673">
        <v>14843.96</v>
      </c>
      <c r="N673" t="s">
        <v>29</v>
      </c>
      <c r="O673" t="s">
        <v>24</v>
      </c>
      <c r="P673" t="s">
        <v>1000</v>
      </c>
      <c r="Q673">
        <v>42</v>
      </c>
    </row>
    <row r="674" spans="1:17" x14ac:dyDescent="0.3">
      <c r="A674" t="s">
        <v>1349</v>
      </c>
      <c r="B674" t="s">
        <v>1350</v>
      </c>
      <c r="C674">
        <v>46.86</v>
      </c>
      <c r="D674">
        <v>4.87</v>
      </c>
      <c r="E674" t="s">
        <v>19</v>
      </c>
      <c r="F674" t="s">
        <v>19</v>
      </c>
      <c r="G674" t="s">
        <v>19</v>
      </c>
      <c r="H674">
        <v>0</v>
      </c>
      <c r="I674" t="s">
        <v>19</v>
      </c>
      <c r="J674" t="s">
        <v>21</v>
      </c>
      <c r="K674" t="s">
        <v>39</v>
      </c>
      <c r="L674" s="1">
        <v>29146</v>
      </c>
      <c r="M674">
        <v>14839.34</v>
      </c>
      <c r="N674" t="s">
        <v>29</v>
      </c>
      <c r="O674" t="s">
        <v>24</v>
      </c>
      <c r="P674" t="s">
        <v>1000</v>
      </c>
      <c r="Q674">
        <v>43</v>
      </c>
    </row>
    <row r="675" spans="1:17" x14ac:dyDescent="0.3">
      <c r="A675" t="s">
        <v>1351</v>
      </c>
      <c r="B675" t="s">
        <v>1352</v>
      </c>
      <c r="C675">
        <v>32.965000000000003</v>
      </c>
      <c r="D675">
        <v>6.68</v>
      </c>
      <c r="E675" t="s">
        <v>19</v>
      </c>
      <c r="F675" t="s">
        <v>19</v>
      </c>
      <c r="G675" t="s">
        <v>19</v>
      </c>
      <c r="H675">
        <v>3</v>
      </c>
      <c r="I675" t="s">
        <v>19</v>
      </c>
      <c r="J675" t="s">
        <v>21</v>
      </c>
      <c r="K675" t="s">
        <v>22</v>
      </c>
      <c r="L675" s="1">
        <v>27738</v>
      </c>
      <c r="M675">
        <v>14819</v>
      </c>
      <c r="N675" t="s">
        <v>29</v>
      </c>
      <c r="O675" t="s">
        <v>24</v>
      </c>
      <c r="P675" t="s">
        <v>354</v>
      </c>
      <c r="Q675">
        <v>47</v>
      </c>
    </row>
    <row r="676" spans="1:17" x14ac:dyDescent="0.3">
      <c r="A676" t="s">
        <v>1353</v>
      </c>
      <c r="B676" t="s">
        <v>1354</v>
      </c>
      <c r="C676">
        <v>39.340000000000003</v>
      </c>
      <c r="D676">
        <v>5.0199999999999996</v>
      </c>
      <c r="E676" t="s">
        <v>32</v>
      </c>
      <c r="F676" t="s">
        <v>19</v>
      </c>
      <c r="G676" t="s">
        <v>20</v>
      </c>
      <c r="H676">
        <v>1</v>
      </c>
      <c r="I676" t="s">
        <v>19</v>
      </c>
      <c r="J676" t="s">
        <v>21</v>
      </c>
      <c r="K676" t="s">
        <v>39</v>
      </c>
      <c r="L676" s="1">
        <v>23950</v>
      </c>
      <c r="M676">
        <v>14750.42</v>
      </c>
      <c r="N676" t="s">
        <v>29</v>
      </c>
      <c r="O676" t="s">
        <v>29</v>
      </c>
      <c r="P676" t="s">
        <v>1000</v>
      </c>
      <c r="Q676">
        <v>57</v>
      </c>
    </row>
    <row r="677" spans="1:17" x14ac:dyDescent="0.3">
      <c r="A677" t="s">
        <v>1355</v>
      </c>
      <c r="B677" t="s">
        <v>1356</v>
      </c>
      <c r="C677">
        <v>47</v>
      </c>
      <c r="D677">
        <v>10.64</v>
      </c>
      <c r="E677" t="s">
        <v>32</v>
      </c>
      <c r="F677" t="s">
        <v>19</v>
      </c>
      <c r="G677" t="s">
        <v>19</v>
      </c>
      <c r="H677">
        <v>0</v>
      </c>
      <c r="I677" t="s">
        <v>19</v>
      </c>
      <c r="J677" t="s">
        <v>21</v>
      </c>
      <c r="K677" t="s">
        <v>22</v>
      </c>
      <c r="L677" s="1">
        <v>22856</v>
      </c>
      <c r="M677">
        <v>14738.43</v>
      </c>
      <c r="N677" t="s">
        <v>29</v>
      </c>
      <c r="O677" t="s">
        <v>24</v>
      </c>
      <c r="P677" t="s">
        <v>1301</v>
      </c>
      <c r="Q677">
        <v>60</v>
      </c>
    </row>
    <row r="678" spans="1:17" x14ac:dyDescent="0.3">
      <c r="A678" t="s">
        <v>1357</v>
      </c>
      <c r="B678" t="s">
        <v>1358</v>
      </c>
      <c r="C678">
        <v>36.71</v>
      </c>
      <c r="D678">
        <v>8.74</v>
      </c>
      <c r="E678" t="s">
        <v>32</v>
      </c>
      <c r="F678" t="s">
        <v>19</v>
      </c>
      <c r="G678" t="s">
        <v>19</v>
      </c>
      <c r="H678">
        <v>0</v>
      </c>
      <c r="I678" t="s">
        <v>19</v>
      </c>
      <c r="J678" t="s">
        <v>21</v>
      </c>
      <c r="K678" t="s">
        <v>22</v>
      </c>
      <c r="L678" s="1">
        <v>37523</v>
      </c>
      <c r="M678">
        <v>14711.74</v>
      </c>
      <c r="N678" t="s">
        <v>29</v>
      </c>
      <c r="O678" t="s">
        <v>29</v>
      </c>
      <c r="P678" t="s">
        <v>33</v>
      </c>
      <c r="Q678">
        <v>20</v>
      </c>
    </row>
    <row r="679" spans="1:17" x14ac:dyDescent="0.3">
      <c r="A679" t="s">
        <v>1359</v>
      </c>
      <c r="B679" t="s">
        <v>1360</v>
      </c>
      <c r="C679">
        <v>53.48</v>
      </c>
      <c r="D679">
        <v>5.64</v>
      </c>
      <c r="E679" t="s">
        <v>19</v>
      </c>
      <c r="F679" t="s">
        <v>19</v>
      </c>
      <c r="G679" t="s">
        <v>19</v>
      </c>
      <c r="H679">
        <v>0</v>
      </c>
      <c r="I679" t="s">
        <v>19</v>
      </c>
      <c r="J679" t="s">
        <v>21</v>
      </c>
      <c r="K679" t="s">
        <v>39</v>
      </c>
      <c r="L679" s="1">
        <v>30198</v>
      </c>
      <c r="M679">
        <v>14696.77</v>
      </c>
      <c r="N679" t="s">
        <v>29</v>
      </c>
      <c r="O679" t="s">
        <v>29</v>
      </c>
      <c r="P679" t="s">
        <v>42</v>
      </c>
      <c r="Q679">
        <v>40</v>
      </c>
    </row>
    <row r="680" spans="1:17" x14ac:dyDescent="0.3">
      <c r="A680" t="s">
        <v>1361</v>
      </c>
      <c r="B680" t="s">
        <v>1362</v>
      </c>
      <c r="C680">
        <v>35.5</v>
      </c>
      <c r="D680">
        <v>10.37</v>
      </c>
      <c r="E680" t="s">
        <v>19</v>
      </c>
      <c r="F680" t="s">
        <v>19</v>
      </c>
      <c r="G680" t="s">
        <v>19</v>
      </c>
      <c r="H680">
        <v>0</v>
      </c>
      <c r="I680" t="s">
        <v>19</v>
      </c>
      <c r="J680" t="s">
        <v>21</v>
      </c>
      <c r="K680" t="s">
        <v>22</v>
      </c>
      <c r="L680" s="1">
        <v>21389</v>
      </c>
      <c r="M680">
        <v>14692.67</v>
      </c>
      <c r="N680" t="s">
        <v>29</v>
      </c>
      <c r="O680" t="s">
        <v>23</v>
      </c>
      <c r="P680" t="s">
        <v>33</v>
      </c>
      <c r="Q680">
        <v>64</v>
      </c>
    </row>
    <row r="681" spans="1:17" x14ac:dyDescent="0.3">
      <c r="A681" t="s">
        <v>1363</v>
      </c>
      <c r="B681" t="s">
        <v>1364</v>
      </c>
      <c r="C681">
        <v>36.979999999999997</v>
      </c>
      <c r="D681">
        <v>9.56</v>
      </c>
      <c r="E681" t="s">
        <v>32</v>
      </c>
      <c r="F681" t="s">
        <v>19</v>
      </c>
      <c r="G681" t="s">
        <v>19</v>
      </c>
      <c r="H681">
        <v>0</v>
      </c>
      <c r="I681" t="s">
        <v>19</v>
      </c>
      <c r="J681" t="s">
        <v>21</v>
      </c>
      <c r="K681" t="s">
        <v>22</v>
      </c>
      <c r="L681" s="1">
        <v>25496</v>
      </c>
      <c r="M681">
        <v>14665.75</v>
      </c>
      <c r="N681" t="s">
        <v>29</v>
      </c>
      <c r="O681" t="s">
        <v>23</v>
      </c>
      <c r="P681" t="s">
        <v>33</v>
      </c>
      <c r="Q681">
        <v>53</v>
      </c>
    </row>
    <row r="682" spans="1:17" x14ac:dyDescent="0.3">
      <c r="A682" t="s">
        <v>1365</v>
      </c>
      <c r="B682" t="s">
        <v>1366</v>
      </c>
      <c r="C682">
        <v>32.395000000000003</v>
      </c>
      <c r="D682">
        <v>8.23</v>
      </c>
      <c r="E682" t="s">
        <v>32</v>
      </c>
      <c r="F682" t="s">
        <v>19</v>
      </c>
      <c r="G682" t="s">
        <v>20</v>
      </c>
      <c r="H682">
        <v>1</v>
      </c>
      <c r="I682" t="s">
        <v>19</v>
      </c>
      <c r="J682" t="s">
        <v>21</v>
      </c>
      <c r="K682" t="s">
        <v>22</v>
      </c>
      <c r="L682" s="1">
        <v>29903</v>
      </c>
      <c r="M682">
        <v>14657.2</v>
      </c>
      <c r="N682" t="s">
        <v>29</v>
      </c>
      <c r="O682" t="s">
        <v>23</v>
      </c>
      <c r="P682" t="s">
        <v>33</v>
      </c>
      <c r="Q682">
        <v>41</v>
      </c>
    </row>
    <row r="683" spans="1:17" x14ac:dyDescent="0.3">
      <c r="A683" t="s">
        <v>1367</v>
      </c>
      <c r="B683" t="s">
        <v>1368</v>
      </c>
      <c r="C683">
        <v>32.729999999999997</v>
      </c>
      <c r="D683">
        <v>7.03</v>
      </c>
      <c r="E683" t="s">
        <v>19</v>
      </c>
      <c r="F683" t="s">
        <v>19</v>
      </c>
      <c r="G683" t="s">
        <v>19</v>
      </c>
      <c r="H683">
        <v>0</v>
      </c>
      <c r="I683" t="s">
        <v>19</v>
      </c>
      <c r="J683" t="s">
        <v>21</v>
      </c>
      <c r="K683" t="s">
        <v>22</v>
      </c>
      <c r="L683" s="1">
        <v>24716</v>
      </c>
      <c r="M683">
        <v>14640.35</v>
      </c>
      <c r="N683" t="s">
        <v>29</v>
      </c>
      <c r="O683" t="s">
        <v>24</v>
      </c>
      <c r="P683" t="s">
        <v>1000</v>
      </c>
      <c r="Q683">
        <v>55</v>
      </c>
    </row>
    <row r="684" spans="1:17" x14ac:dyDescent="0.3">
      <c r="A684" t="s">
        <v>1369</v>
      </c>
      <c r="B684" t="s">
        <v>1370</v>
      </c>
      <c r="C684">
        <v>20.52</v>
      </c>
      <c r="D684">
        <v>5.45</v>
      </c>
      <c r="E684" t="s">
        <v>19</v>
      </c>
      <c r="F684" t="s">
        <v>19</v>
      </c>
      <c r="G684" t="s">
        <v>19</v>
      </c>
      <c r="H684">
        <v>1</v>
      </c>
      <c r="I684" t="s">
        <v>20</v>
      </c>
      <c r="J684" t="s">
        <v>482</v>
      </c>
      <c r="K684" t="s">
        <v>39</v>
      </c>
      <c r="L684" s="1">
        <v>33471</v>
      </c>
      <c r="M684">
        <v>14630.52</v>
      </c>
      <c r="N684" t="s">
        <v>29</v>
      </c>
      <c r="O684" t="s">
        <v>24</v>
      </c>
      <c r="P684" t="s">
        <v>42</v>
      </c>
      <c r="Q684">
        <v>31</v>
      </c>
    </row>
    <row r="685" spans="1:17" x14ac:dyDescent="0.3">
      <c r="A685" t="s">
        <v>1371</v>
      </c>
      <c r="B685" t="s">
        <v>1372</v>
      </c>
      <c r="C685">
        <v>51.72</v>
      </c>
      <c r="D685">
        <v>5.76</v>
      </c>
      <c r="E685" t="s">
        <v>19</v>
      </c>
      <c r="F685" t="s">
        <v>19</v>
      </c>
      <c r="G685" t="s">
        <v>19</v>
      </c>
      <c r="H685">
        <v>0</v>
      </c>
      <c r="I685" t="s">
        <v>19</v>
      </c>
      <c r="J685" t="s">
        <v>21</v>
      </c>
      <c r="K685" t="s">
        <v>28</v>
      </c>
      <c r="L685" s="1">
        <v>24054</v>
      </c>
      <c r="M685">
        <v>14612.33</v>
      </c>
      <c r="N685" t="s">
        <v>29</v>
      </c>
      <c r="O685" t="s">
        <v>24</v>
      </c>
      <c r="P685" t="s">
        <v>1301</v>
      </c>
      <c r="Q685">
        <v>57</v>
      </c>
    </row>
    <row r="686" spans="1:17" x14ac:dyDescent="0.3">
      <c r="A686" t="s">
        <v>1373</v>
      </c>
      <c r="B686" t="s">
        <v>1374</v>
      </c>
      <c r="C686">
        <v>50.2</v>
      </c>
      <c r="D686">
        <v>5.4</v>
      </c>
      <c r="E686" t="s">
        <v>19</v>
      </c>
      <c r="F686" t="s">
        <v>19</v>
      </c>
      <c r="G686" t="s">
        <v>19</v>
      </c>
      <c r="H686">
        <v>0</v>
      </c>
      <c r="I686" t="s">
        <v>19</v>
      </c>
      <c r="J686" t="s">
        <v>21</v>
      </c>
      <c r="K686" t="s">
        <v>39</v>
      </c>
      <c r="L686" s="1">
        <v>24671</v>
      </c>
      <c r="M686">
        <v>14600.62</v>
      </c>
      <c r="N686" t="s">
        <v>29</v>
      </c>
      <c r="O686" t="s">
        <v>24</v>
      </c>
      <c r="P686" t="s">
        <v>1262</v>
      </c>
      <c r="Q686">
        <v>55</v>
      </c>
    </row>
    <row r="687" spans="1:17" x14ac:dyDescent="0.3">
      <c r="A687" t="s">
        <v>1375</v>
      </c>
      <c r="B687" t="s">
        <v>1376</v>
      </c>
      <c r="C687">
        <v>25.52</v>
      </c>
      <c r="D687">
        <v>6.35</v>
      </c>
      <c r="E687" t="s">
        <v>19</v>
      </c>
      <c r="F687" t="s">
        <v>19</v>
      </c>
      <c r="G687" t="s">
        <v>20</v>
      </c>
      <c r="H687">
        <v>1</v>
      </c>
      <c r="I687" t="s">
        <v>19</v>
      </c>
      <c r="J687" t="s">
        <v>333</v>
      </c>
      <c r="K687" t="s">
        <v>28</v>
      </c>
      <c r="L687" s="1">
        <v>23298</v>
      </c>
      <c r="M687">
        <v>14590.63</v>
      </c>
      <c r="N687" t="s">
        <v>29</v>
      </c>
      <c r="O687" t="s">
        <v>23</v>
      </c>
      <c r="P687" t="s">
        <v>36</v>
      </c>
      <c r="Q687">
        <v>59</v>
      </c>
    </row>
    <row r="688" spans="1:17" x14ac:dyDescent="0.3">
      <c r="A688" t="s">
        <v>1377</v>
      </c>
      <c r="B688" t="s">
        <v>1378</v>
      </c>
      <c r="C688">
        <v>35.200000000000003</v>
      </c>
      <c r="D688">
        <v>6.26</v>
      </c>
      <c r="E688" t="s">
        <v>32</v>
      </c>
      <c r="F688" t="s">
        <v>19</v>
      </c>
      <c r="G688" t="s">
        <v>19</v>
      </c>
      <c r="H688">
        <v>2</v>
      </c>
      <c r="I688" t="s">
        <v>19</v>
      </c>
      <c r="J688" t="s">
        <v>21</v>
      </c>
      <c r="K688" t="s">
        <v>28</v>
      </c>
      <c r="L688" s="1">
        <v>22983</v>
      </c>
      <c r="M688">
        <v>14574.64</v>
      </c>
      <c r="N688" t="s">
        <v>29</v>
      </c>
      <c r="O688" t="s">
        <v>23</v>
      </c>
      <c r="P688" t="s">
        <v>1379</v>
      </c>
      <c r="Q688">
        <v>60</v>
      </c>
    </row>
    <row r="689" spans="1:17" x14ac:dyDescent="0.3">
      <c r="A689" t="s">
        <v>1380</v>
      </c>
      <c r="B689" t="s">
        <v>1381</v>
      </c>
      <c r="C689">
        <v>41.26</v>
      </c>
      <c r="D689">
        <v>5.97</v>
      </c>
      <c r="E689" t="s">
        <v>32</v>
      </c>
      <c r="F689" t="s">
        <v>19</v>
      </c>
      <c r="G689" t="s">
        <v>19</v>
      </c>
      <c r="H689">
        <v>0</v>
      </c>
      <c r="I689" t="s">
        <v>19</v>
      </c>
      <c r="J689" t="s">
        <v>21</v>
      </c>
      <c r="K689" t="s">
        <v>28</v>
      </c>
      <c r="L689" s="1">
        <v>36050</v>
      </c>
      <c r="M689">
        <v>14571.89</v>
      </c>
      <c r="N689" t="s">
        <v>29</v>
      </c>
      <c r="O689" t="s">
        <v>23</v>
      </c>
      <c r="P689" t="s">
        <v>36</v>
      </c>
      <c r="Q689">
        <v>24</v>
      </c>
    </row>
    <row r="690" spans="1:17" x14ac:dyDescent="0.3">
      <c r="A690" t="s">
        <v>1382</v>
      </c>
      <c r="B690" t="s">
        <v>1383</v>
      </c>
      <c r="C690">
        <v>17.195</v>
      </c>
      <c r="D690">
        <v>5.29</v>
      </c>
      <c r="E690" t="s">
        <v>32</v>
      </c>
      <c r="F690" t="s">
        <v>19</v>
      </c>
      <c r="G690" t="s">
        <v>19</v>
      </c>
      <c r="H690">
        <v>0</v>
      </c>
      <c r="I690" t="s">
        <v>20</v>
      </c>
      <c r="J690" t="s">
        <v>592</v>
      </c>
      <c r="K690" t="s">
        <v>39</v>
      </c>
      <c r="L690" s="1">
        <v>32703</v>
      </c>
      <c r="M690">
        <v>14547.26</v>
      </c>
      <c r="N690" t="s">
        <v>29</v>
      </c>
      <c r="O690" t="s">
        <v>24</v>
      </c>
      <c r="P690" t="s">
        <v>42</v>
      </c>
      <c r="Q690">
        <v>33</v>
      </c>
    </row>
    <row r="691" spans="1:17" x14ac:dyDescent="0.3">
      <c r="A691" t="s">
        <v>1384</v>
      </c>
      <c r="B691" t="s">
        <v>1385</v>
      </c>
      <c r="C691">
        <v>23.085000000000001</v>
      </c>
      <c r="D691">
        <v>4.2699999999999996</v>
      </c>
      <c r="E691" t="s">
        <v>32</v>
      </c>
      <c r="F691" t="s">
        <v>19</v>
      </c>
      <c r="G691" t="s">
        <v>19</v>
      </c>
      <c r="H691">
        <v>2</v>
      </c>
      <c r="I691" t="s">
        <v>19</v>
      </c>
      <c r="J691" t="s">
        <v>482</v>
      </c>
      <c r="K691" t="s">
        <v>39</v>
      </c>
      <c r="L691" s="1">
        <v>32711</v>
      </c>
      <c r="M691">
        <v>14507.46</v>
      </c>
      <c r="N691" t="s">
        <v>29</v>
      </c>
      <c r="O691" t="s">
        <v>24</v>
      </c>
      <c r="P691" t="s">
        <v>33</v>
      </c>
      <c r="Q691">
        <v>33</v>
      </c>
    </row>
    <row r="692" spans="1:17" x14ac:dyDescent="0.3">
      <c r="A692" t="s">
        <v>1386</v>
      </c>
      <c r="B692" t="s">
        <v>1387</v>
      </c>
      <c r="C692">
        <v>21.66</v>
      </c>
      <c r="D692">
        <v>5.2</v>
      </c>
      <c r="E692" t="s">
        <v>32</v>
      </c>
      <c r="F692" t="s">
        <v>19</v>
      </c>
      <c r="G692" t="s">
        <v>19</v>
      </c>
      <c r="H692">
        <v>2</v>
      </c>
      <c r="I692" t="s">
        <v>19</v>
      </c>
      <c r="J692" t="s">
        <v>482</v>
      </c>
      <c r="K692" t="s">
        <v>39</v>
      </c>
      <c r="L692" s="1">
        <v>29148</v>
      </c>
      <c r="M692">
        <v>14478.33</v>
      </c>
      <c r="N692" t="s">
        <v>29</v>
      </c>
      <c r="O692" t="s">
        <v>29</v>
      </c>
      <c r="P692" t="s">
        <v>25</v>
      </c>
      <c r="Q692">
        <v>43</v>
      </c>
    </row>
    <row r="693" spans="1:17" x14ac:dyDescent="0.3">
      <c r="A693" t="s">
        <v>1388</v>
      </c>
      <c r="B693" t="s">
        <v>1389</v>
      </c>
      <c r="C693">
        <v>36.47</v>
      </c>
      <c r="D693">
        <v>8.23</v>
      </c>
      <c r="E693" t="s">
        <v>32</v>
      </c>
      <c r="F693" t="s">
        <v>19</v>
      </c>
      <c r="G693" t="s">
        <v>19</v>
      </c>
      <c r="H693">
        <v>0</v>
      </c>
      <c r="I693" t="s">
        <v>19</v>
      </c>
      <c r="J693" t="s">
        <v>21</v>
      </c>
      <c r="K693" t="s">
        <v>22</v>
      </c>
      <c r="L693" s="1">
        <v>21874</v>
      </c>
      <c r="M693">
        <v>14474.68</v>
      </c>
      <c r="N693" t="s">
        <v>29</v>
      </c>
      <c r="O693" t="s">
        <v>29</v>
      </c>
      <c r="P693" t="s">
        <v>25</v>
      </c>
      <c r="Q693">
        <v>63</v>
      </c>
    </row>
    <row r="694" spans="1:17" x14ac:dyDescent="0.3">
      <c r="A694" t="s">
        <v>1390</v>
      </c>
      <c r="B694" t="s">
        <v>1391</v>
      </c>
      <c r="C694">
        <v>36.08</v>
      </c>
      <c r="D694">
        <v>10.33</v>
      </c>
      <c r="E694" t="s">
        <v>32</v>
      </c>
      <c r="F694" t="s">
        <v>19</v>
      </c>
      <c r="G694" t="s">
        <v>19</v>
      </c>
      <c r="H694">
        <v>0</v>
      </c>
      <c r="I694" t="s">
        <v>19</v>
      </c>
      <c r="J694" t="s">
        <v>21</v>
      </c>
      <c r="K694" t="s">
        <v>22</v>
      </c>
      <c r="L694" s="1">
        <v>28091</v>
      </c>
      <c r="M694">
        <v>14470.01</v>
      </c>
      <c r="N694" t="s">
        <v>29</v>
      </c>
      <c r="O694" t="s">
        <v>24</v>
      </c>
      <c r="P694" t="s">
        <v>33</v>
      </c>
      <c r="Q694">
        <v>46</v>
      </c>
    </row>
    <row r="695" spans="1:17" x14ac:dyDescent="0.3">
      <c r="A695" t="s">
        <v>1392</v>
      </c>
      <c r="B695" t="s">
        <v>1393</v>
      </c>
      <c r="C695">
        <v>23.18</v>
      </c>
      <c r="D695">
        <v>6.13</v>
      </c>
      <c r="E695" t="s">
        <v>19</v>
      </c>
      <c r="F695" t="s">
        <v>19</v>
      </c>
      <c r="G695" t="s">
        <v>19</v>
      </c>
      <c r="H695">
        <v>0</v>
      </c>
      <c r="I695" t="s">
        <v>19</v>
      </c>
      <c r="J695" t="s">
        <v>482</v>
      </c>
      <c r="K695" t="s">
        <v>28</v>
      </c>
      <c r="L695" s="1">
        <v>35379</v>
      </c>
      <c r="M695">
        <v>14455.64</v>
      </c>
      <c r="N695" t="s">
        <v>29</v>
      </c>
      <c r="O695" t="s">
        <v>24</v>
      </c>
      <c r="P695" t="s">
        <v>36</v>
      </c>
      <c r="Q695">
        <v>26</v>
      </c>
    </row>
    <row r="696" spans="1:17" x14ac:dyDescent="0.3">
      <c r="A696" t="s">
        <v>1394</v>
      </c>
      <c r="B696" t="s">
        <v>1395</v>
      </c>
      <c r="C696">
        <v>39.159999999999997</v>
      </c>
      <c r="D696">
        <v>8.08</v>
      </c>
      <c r="E696" t="s">
        <v>19</v>
      </c>
      <c r="F696" t="s">
        <v>19</v>
      </c>
      <c r="G696" t="s">
        <v>19</v>
      </c>
      <c r="H696">
        <v>3</v>
      </c>
      <c r="I696" t="s">
        <v>19</v>
      </c>
      <c r="J696" t="s">
        <v>21</v>
      </c>
      <c r="K696" t="s">
        <v>22</v>
      </c>
      <c r="L696" s="1">
        <v>21765</v>
      </c>
      <c r="M696">
        <v>14451.84</v>
      </c>
      <c r="N696" t="s">
        <v>29</v>
      </c>
      <c r="O696" t="s">
        <v>24</v>
      </c>
      <c r="P696" t="s">
        <v>354</v>
      </c>
      <c r="Q696">
        <v>63</v>
      </c>
    </row>
    <row r="697" spans="1:17" x14ac:dyDescent="0.3">
      <c r="A697" t="s">
        <v>1396</v>
      </c>
      <c r="B697" t="s">
        <v>1397</v>
      </c>
      <c r="C697">
        <v>38.19</v>
      </c>
      <c r="D697">
        <v>10.49</v>
      </c>
      <c r="E697" t="s">
        <v>19</v>
      </c>
      <c r="F697" t="s">
        <v>19</v>
      </c>
      <c r="G697" t="s">
        <v>19</v>
      </c>
      <c r="H697">
        <v>3</v>
      </c>
      <c r="I697" t="s">
        <v>19</v>
      </c>
      <c r="J697" t="s">
        <v>21</v>
      </c>
      <c r="K697" t="s">
        <v>22</v>
      </c>
      <c r="L697" s="1">
        <v>21730</v>
      </c>
      <c r="M697">
        <v>14449.85</v>
      </c>
      <c r="N697" t="s">
        <v>29</v>
      </c>
      <c r="O697" t="s">
        <v>23</v>
      </c>
      <c r="P697" t="s">
        <v>36</v>
      </c>
      <c r="Q697">
        <v>63</v>
      </c>
    </row>
    <row r="698" spans="1:17" x14ac:dyDescent="0.3">
      <c r="A698" t="s">
        <v>1398</v>
      </c>
      <c r="B698" t="s">
        <v>1399</v>
      </c>
      <c r="C698">
        <v>26.41</v>
      </c>
      <c r="D698">
        <v>8.11</v>
      </c>
      <c r="E698" t="s">
        <v>19</v>
      </c>
      <c r="F698" t="s">
        <v>19</v>
      </c>
      <c r="G698" t="s">
        <v>19</v>
      </c>
      <c r="H698">
        <v>3</v>
      </c>
      <c r="I698" t="s">
        <v>19</v>
      </c>
      <c r="J698" t="s">
        <v>333</v>
      </c>
      <c r="K698" t="s">
        <v>22</v>
      </c>
      <c r="L698" s="1">
        <v>24780</v>
      </c>
      <c r="M698">
        <v>14427.63</v>
      </c>
      <c r="N698" t="s">
        <v>29</v>
      </c>
      <c r="O698" t="s">
        <v>29</v>
      </c>
      <c r="P698" t="s">
        <v>1301</v>
      </c>
      <c r="Q698">
        <v>55</v>
      </c>
    </row>
    <row r="699" spans="1:17" x14ac:dyDescent="0.3">
      <c r="A699" t="s">
        <v>1400</v>
      </c>
      <c r="B699" t="s">
        <v>1401</v>
      </c>
      <c r="C699">
        <v>28.785</v>
      </c>
      <c r="D699">
        <v>6.6</v>
      </c>
      <c r="E699" t="s">
        <v>19</v>
      </c>
      <c r="F699" t="s">
        <v>19</v>
      </c>
      <c r="G699" t="s">
        <v>19</v>
      </c>
      <c r="H699">
        <v>0</v>
      </c>
      <c r="I699" t="s">
        <v>19</v>
      </c>
      <c r="J699" t="s">
        <v>333</v>
      </c>
      <c r="K699" t="s">
        <v>22</v>
      </c>
      <c r="L699" s="1">
        <v>24699</v>
      </c>
      <c r="M699">
        <v>14426.66</v>
      </c>
      <c r="N699" t="s">
        <v>29</v>
      </c>
      <c r="O699" t="s">
        <v>29</v>
      </c>
      <c r="P699" t="s">
        <v>1000</v>
      </c>
      <c r="Q699">
        <v>55</v>
      </c>
    </row>
    <row r="700" spans="1:17" x14ac:dyDescent="0.3">
      <c r="A700" t="s">
        <v>1402</v>
      </c>
      <c r="B700" t="s">
        <v>1403</v>
      </c>
      <c r="C700">
        <v>26.695</v>
      </c>
      <c r="D700">
        <v>10.14</v>
      </c>
      <c r="E700" t="s">
        <v>32</v>
      </c>
      <c r="F700" t="s">
        <v>19</v>
      </c>
      <c r="G700" t="s">
        <v>20</v>
      </c>
      <c r="H700">
        <v>1</v>
      </c>
      <c r="I700" t="s">
        <v>19</v>
      </c>
      <c r="J700" t="s">
        <v>333</v>
      </c>
      <c r="K700" t="s">
        <v>22</v>
      </c>
      <c r="L700" s="1">
        <v>36382</v>
      </c>
      <c r="M700">
        <v>14426.07</v>
      </c>
      <c r="N700" t="s">
        <v>29</v>
      </c>
      <c r="O700" t="s">
        <v>23</v>
      </c>
      <c r="P700" t="s">
        <v>33</v>
      </c>
      <c r="Q700">
        <v>23</v>
      </c>
    </row>
    <row r="701" spans="1:17" x14ac:dyDescent="0.3">
      <c r="A701" t="s">
        <v>1404</v>
      </c>
      <c r="B701" t="s">
        <v>1405</v>
      </c>
      <c r="C701">
        <v>32.799999999999997</v>
      </c>
      <c r="D701">
        <v>6.06</v>
      </c>
      <c r="E701" t="s">
        <v>32</v>
      </c>
      <c r="F701" t="s">
        <v>19</v>
      </c>
      <c r="G701" t="s">
        <v>19</v>
      </c>
      <c r="H701">
        <v>1</v>
      </c>
      <c r="I701" t="s">
        <v>19</v>
      </c>
      <c r="J701" t="s">
        <v>21</v>
      </c>
      <c r="K701" t="s">
        <v>28</v>
      </c>
      <c r="L701" s="1">
        <v>21448</v>
      </c>
      <c r="M701">
        <v>14418.28</v>
      </c>
      <c r="N701" t="s">
        <v>29</v>
      </c>
      <c r="O701" t="s">
        <v>24</v>
      </c>
      <c r="P701" t="s">
        <v>25</v>
      </c>
      <c r="Q701">
        <v>64</v>
      </c>
    </row>
    <row r="702" spans="1:17" x14ac:dyDescent="0.3">
      <c r="A702" t="s">
        <v>1406</v>
      </c>
      <c r="B702" t="s">
        <v>1407</v>
      </c>
      <c r="C702">
        <v>35.869999999999997</v>
      </c>
      <c r="D702">
        <v>9.91</v>
      </c>
      <c r="E702" t="s">
        <v>32</v>
      </c>
      <c r="F702" t="s">
        <v>19</v>
      </c>
      <c r="G702" t="s">
        <v>19</v>
      </c>
      <c r="H702">
        <v>0</v>
      </c>
      <c r="I702" t="s">
        <v>19</v>
      </c>
      <c r="J702" t="s">
        <v>21</v>
      </c>
      <c r="K702" t="s">
        <v>22</v>
      </c>
      <c r="L702" s="1">
        <v>21395</v>
      </c>
      <c r="M702">
        <v>14410.93</v>
      </c>
      <c r="N702" t="s">
        <v>29</v>
      </c>
      <c r="O702" t="s">
        <v>29</v>
      </c>
      <c r="P702" t="s">
        <v>59</v>
      </c>
      <c r="Q702">
        <v>64</v>
      </c>
    </row>
    <row r="703" spans="1:17" x14ac:dyDescent="0.3">
      <c r="A703" t="s">
        <v>1408</v>
      </c>
      <c r="B703" t="s">
        <v>1409</v>
      </c>
      <c r="C703">
        <v>21.66</v>
      </c>
      <c r="D703">
        <v>4.1399999999999997</v>
      </c>
      <c r="E703" t="s">
        <v>32</v>
      </c>
      <c r="F703" t="s">
        <v>19</v>
      </c>
      <c r="G703" t="s">
        <v>19</v>
      </c>
      <c r="H703">
        <v>2</v>
      </c>
      <c r="I703" t="s">
        <v>19</v>
      </c>
      <c r="J703" t="s">
        <v>482</v>
      </c>
      <c r="K703" t="s">
        <v>39</v>
      </c>
      <c r="L703" s="1">
        <v>21442</v>
      </c>
      <c r="M703">
        <v>14394.56</v>
      </c>
      <c r="N703" t="s">
        <v>29</v>
      </c>
      <c r="O703" t="s">
        <v>23</v>
      </c>
      <c r="P703" t="s">
        <v>565</v>
      </c>
      <c r="Q703">
        <v>64</v>
      </c>
    </row>
    <row r="704" spans="1:17" x14ac:dyDescent="0.3">
      <c r="A704" t="s">
        <v>1410</v>
      </c>
      <c r="B704" t="s">
        <v>1411</v>
      </c>
      <c r="C704">
        <v>37.72</v>
      </c>
      <c r="D704">
        <v>4.38</v>
      </c>
      <c r="E704" t="s">
        <v>32</v>
      </c>
      <c r="F704" t="s">
        <v>19</v>
      </c>
      <c r="G704" t="s">
        <v>20</v>
      </c>
      <c r="H704">
        <v>1</v>
      </c>
      <c r="I704" t="s">
        <v>19</v>
      </c>
      <c r="J704" t="s">
        <v>21</v>
      </c>
      <c r="K704" t="s">
        <v>39</v>
      </c>
      <c r="L704" s="1">
        <v>23915</v>
      </c>
      <c r="M704">
        <v>14394.4</v>
      </c>
      <c r="N704" t="s">
        <v>29</v>
      </c>
      <c r="O704" t="s">
        <v>24</v>
      </c>
      <c r="P704" t="s">
        <v>36</v>
      </c>
      <c r="Q704">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4C5A-92EA-41FD-9EB0-511BF7774306}">
  <dimension ref="A1:D22"/>
  <sheetViews>
    <sheetView workbookViewId="0">
      <selection activeCell="C2" sqref="C2"/>
    </sheetView>
  </sheetViews>
  <sheetFormatPr defaultRowHeight="14.4" x14ac:dyDescent="0.3"/>
  <cols>
    <col min="1" max="1" width="22.109375" bestFit="1" customWidth="1"/>
    <col min="2" max="2" width="30.33203125" bestFit="1" customWidth="1"/>
    <col min="3" max="3" width="31.21875" bestFit="1" customWidth="1"/>
  </cols>
  <sheetData>
    <row r="1" spans="1:4" x14ac:dyDescent="0.3">
      <c r="A1" s="2" t="s">
        <v>1412</v>
      </c>
      <c r="B1" s="2"/>
      <c r="C1" s="2"/>
      <c r="D1" s="2"/>
    </row>
    <row r="2" spans="1:4" x14ac:dyDescent="0.3">
      <c r="A2" t="s">
        <v>1413</v>
      </c>
      <c r="B2" t="s">
        <v>1414</v>
      </c>
      <c r="C2" t="s">
        <v>1415</v>
      </c>
    </row>
    <row r="3" spans="1:4" x14ac:dyDescent="0.3">
      <c r="A3" t="s">
        <v>0</v>
      </c>
      <c r="B3">
        <v>0</v>
      </c>
      <c r="C3">
        <v>0</v>
      </c>
    </row>
    <row r="4" spans="1:4" x14ac:dyDescent="0.3">
      <c r="A4" t="s">
        <v>2</v>
      </c>
      <c r="B4">
        <v>0</v>
      </c>
      <c r="C4">
        <v>0</v>
      </c>
    </row>
    <row r="5" spans="1:4" x14ac:dyDescent="0.3">
      <c r="A5" t="s">
        <v>3</v>
      </c>
      <c r="B5">
        <v>0</v>
      </c>
      <c r="C5">
        <v>0</v>
      </c>
    </row>
    <row r="6" spans="1:4" x14ac:dyDescent="0.3">
      <c r="A6" t="s">
        <v>1416</v>
      </c>
      <c r="B6">
        <v>0</v>
      </c>
      <c r="C6">
        <v>0</v>
      </c>
    </row>
    <row r="7" spans="1:4" x14ac:dyDescent="0.3">
      <c r="A7" t="s">
        <v>1417</v>
      </c>
      <c r="B7">
        <v>0</v>
      </c>
      <c r="C7">
        <v>0</v>
      </c>
    </row>
    <row r="8" spans="1:4" x14ac:dyDescent="0.3">
      <c r="A8" t="s">
        <v>1418</v>
      </c>
      <c r="B8">
        <v>0</v>
      </c>
      <c r="C8">
        <v>0</v>
      </c>
    </row>
    <row r="9" spans="1:4" x14ac:dyDescent="0.3">
      <c r="A9" t="s">
        <v>1419</v>
      </c>
      <c r="B9">
        <v>0</v>
      </c>
      <c r="C9">
        <v>0</v>
      </c>
    </row>
    <row r="10" spans="1:4" x14ac:dyDescent="0.3">
      <c r="A10" t="s">
        <v>1420</v>
      </c>
      <c r="B10">
        <v>2</v>
      </c>
      <c r="C10">
        <v>0</v>
      </c>
    </row>
    <row r="11" spans="1:4" x14ac:dyDescent="0.3">
      <c r="A11" t="s">
        <v>0</v>
      </c>
      <c r="B11">
        <v>0</v>
      </c>
      <c r="C11">
        <v>6</v>
      </c>
    </row>
    <row r="12" spans="1:4" x14ac:dyDescent="0.3">
      <c r="A12" t="s">
        <v>1421</v>
      </c>
      <c r="B12">
        <v>0</v>
      </c>
      <c r="C12">
        <v>2</v>
      </c>
    </row>
    <row r="13" spans="1:4" x14ac:dyDescent="0.3">
      <c r="A13" t="s">
        <v>1422</v>
      </c>
      <c r="B13">
        <v>0</v>
      </c>
      <c r="C13">
        <v>3</v>
      </c>
    </row>
    <row r="14" spans="1:4" x14ac:dyDescent="0.3">
      <c r="A14" t="s">
        <v>1423</v>
      </c>
      <c r="B14">
        <v>0</v>
      </c>
      <c r="C14">
        <v>0</v>
      </c>
    </row>
    <row r="15" spans="1:4" x14ac:dyDescent="0.3">
      <c r="A15" t="s">
        <v>1424</v>
      </c>
      <c r="B15">
        <v>0</v>
      </c>
      <c r="C15">
        <v>0</v>
      </c>
    </row>
    <row r="16" spans="1:4" x14ac:dyDescent="0.3">
      <c r="A16" t="s">
        <v>1425</v>
      </c>
      <c r="B16">
        <v>0</v>
      </c>
      <c r="C16">
        <v>0</v>
      </c>
    </row>
    <row r="17" spans="1:3" x14ac:dyDescent="0.3">
      <c r="A17" t="s">
        <v>1426</v>
      </c>
      <c r="B17">
        <v>0</v>
      </c>
      <c r="C17">
        <v>1</v>
      </c>
    </row>
    <row r="18" spans="1:3" x14ac:dyDescent="0.3">
      <c r="A18" t="s">
        <v>1427</v>
      </c>
      <c r="B18">
        <v>0</v>
      </c>
      <c r="C18">
        <v>1</v>
      </c>
    </row>
    <row r="19" spans="1:3" x14ac:dyDescent="0.3">
      <c r="A19" t="s">
        <v>1428</v>
      </c>
      <c r="B19">
        <v>0</v>
      </c>
      <c r="C19">
        <v>2</v>
      </c>
    </row>
    <row r="22" spans="1:3" x14ac:dyDescent="0.3">
      <c r="B22" s="3" t="s">
        <v>1429</v>
      </c>
      <c r="C22" s="3"/>
    </row>
  </sheetData>
  <mergeCells count="2">
    <mergeCell ref="A1:D1"/>
    <mergeCell ref="B22:C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94708-2DF7-40F5-AA72-28974196B825}">
  <dimension ref="A3:D7"/>
  <sheetViews>
    <sheetView workbookViewId="0">
      <selection activeCell="L24" sqref="L24"/>
    </sheetView>
  </sheetViews>
  <sheetFormatPr defaultRowHeight="14.4" x14ac:dyDescent="0.3"/>
  <cols>
    <col min="1" max="1" width="19.33203125" bestFit="1" customWidth="1"/>
    <col min="2" max="2" width="8.77734375" bestFit="1" customWidth="1"/>
    <col min="3" max="3" width="4" bestFit="1" customWidth="1"/>
    <col min="4" max="4" width="10.77734375" bestFit="1" customWidth="1"/>
  </cols>
  <sheetData>
    <row r="3" spans="1:4" x14ac:dyDescent="0.3">
      <c r="A3" s="4" t="s">
        <v>1433</v>
      </c>
      <c r="B3" s="4" t="s">
        <v>1435</v>
      </c>
    </row>
    <row r="4" spans="1:4" x14ac:dyDescent="0.3">
      <c r="A4" s="4" t="s">
        <v>1434</v>
      </c>
      <c r="B4" t="s">
        <v>19</v>
      </c>
      <c r="C4" t="s">
        <v>20</v>
      </c>
      <c r="D4" t="s">
        <v>1431</v>
      </c>
    </row>
    <row r="5" spans="1:4" x14ac:dyDescent="0.3">
      <c r="A5" s="5" t="s">
        <v>19</v>
      </c>
      <c r="B5" s="6">
        <v>179</v>
      </c>
      <c r="C5" s="6">
        <v>40</v>
      </c>
      <c r="D5" s="6">
        <v>219</v>
      </c>
    </row>
    <row r="6" spans="1:4" x14ac:dyDescent="0.3">
      <c r="A6" s="5" t="s">
        <v>20</v>
      </c>
      <c r="B6" s="6">
        <v>401</v>
      </c>
      <c r="C6" s="6">
        <v>83</v>
      </c>
      <c r="D6" s="6">
        <v>484</v>
      </c>
    </row>
    <row r="7" spans="1:4" x14ac:dyDescent="0.3">
      <c r="A7" s="5" t="s">
        <v>1431</v>
      </c>
      <c r="B7" s="6">
        <v>580</v>
      </c>
      <c r="C7" s="6">
        <v>123</v>
      </c>
      <c r="D7" s="6">
        <v>703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7AE6-E787-475C-9370-9B85285F838E}">
  <dimension ref="A3:C6"/>
  <sheetViews>
    <sheetView workbookViewId="0">
      <selection activeCell="J20" sqref="J20"/>
    </sheetView>
  </sheetViews>
  <sheetFormatPr defaultRowHeight="14.4" x14ac:dyDescent="0.3"/>
  <cols>
    <col min="1" max="1" width="12.5546875" bestFit="1" customWidth="1"/>
    <col min="2" max="2" width="32.77734375" bestFit="1" customWidth="1"/>
    <col min="3" max="3" width="16.33203125" bestFit="1" customWidth="1"/>
  </cols>
  <sheetData>
    <row r="3" spans="1:3" x14ac:dyDescent="0.3">
      <c r="A3" s="4" t="s">
        <v>1430</v>
      </c>
      <c r="B3" t="s">
        <v>1436</v>
      </c>
      <c r="C3" t="s">
        <v>1437</v>
      </c>
    </row>
    <row r="4" spans="1:3" x14ac:dyDescent="0.3">
      <c r="A4" s="5" t="s">
        <v>19</v>
      </c>
      <c r="B4" s="6">
        <v>477</v>
      </c>
      <c r="C4" s="7">
        <v>6.9035051546391788</v>
      </c>
    </row>
    <row r="5" spans="1:3" x14ac:dyDescent="0.3">
      <c r="A5" s="5" t="s">
        <v>32</v>
      </c>
      <c r="B5" s="6">
        <v>30</v>
      </c>
      <c r="C5" s="7">
        <v>5.1287500000000001</v>
      </c>
    </row>
    <row r="6" spans="1:3" x14ac:dyDescent="0.3">
      <c r="A6" s="5" t="s">
        <v>1431</v>
      </c>
      <c r="B6" s="6">
        <v>507</v>
      </c>
      <c r="C6" s="7">
        <v>6.8429160739687092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C767E-DA7E-4653-9CD8-09C9F9A1B848}">
  <dimension ref="A3:E9"/>
  <sheetViews>
    <sheetView workbookViewId="0">
      <selection activeCell="M22" sqref="M22"/>
    </sheetView>
  </sheetViews>
  <sheetFormatPr defaultRowHeight="14.4" x14ac:dyDescent="0.3"/>
  <cols>
    <col min="1" max="1" width="18.6640625" bestFit="1" customWidth="1"/>
    <col min="2" max="2" width="15.5546875" bestFit="1" customWidth="1"/>
    <col min="3" max="3" width="8.5546875" bestFit="1" customWidth="1"/>
    <col min="4" max="4" width="10.88671875" bestFit="1" customWidth="1"/>
    <col min="5" max="5" width="10.77734375" bestFit="1" customWidth="1"/>
  </cols>
  <sheetData>
    <row r="3" spans="1:5" x14ac:dyDescent="0.3">
      <c r="A3" s="4" t="s">
        <v>1439</v>
      </c>
      <c r="B3" s="4" t="s">
        <v>1432</v>
      </c>
    </row>
    <row r="4" spans="1:5" x14ac:dyDescent="0.3">
      <c r="A4" s="4" t="s">
        <v>1430</v>
      </c>
      <c r="B4" t="s">
        <v>22</v>
      </c>
      <c r="C4" t="s">
        <v>39</v>
      </c>
      <c r="D4" t="s">
        <v>28</v>
      </c>
      <c r="E4" t="s">
        <v>1431</v>
      </c>
    </row>
    <row r="5" spans="1:5" x14ac:dyDescent="0.3">
      <c r="A5" s="5" t="s">
        <v>482</v>
      </c>
      <c r="B5" s="7">
        <v>27342.583124999997</v>
      </c>
      <c r="C5" s="7">
        <v>21312.952790697665</v>
      </c>
      <c r="D5" s="7">
        <v>24892.036250000001</v>
      </c>
      <c r="E5" s="7">
        <v>24129.580808080813</v>
      </c>
    </row>
    <row r="6" spans="1:5" x14ac:dyDescent="0.3">
      <c r="A6" s="5" t="s">
        <v>21</v>
      </c>
      <c r="B6" s="7">
        <v>30120.066938775486</v>
      </c>
      <c r="C6" s="7">
        <v>31027.310052910045</v>
      </c>
      <c r="D6" s="7">
        <v>34787.776571428585</v>
      </c>
      <c r="E6" s="7">
        <v>31215.030945054954</v>
      </c>
    </row>
    <row r="7" spans="1:5" x14ac:dyDescent="0.3">
      <c r="A7" s="5" t="s">
        <v>333</v>
      </c>
      <c r="B7" s="7">
        <v>26191.81553191489</v>
      </c>
      <c r="C7" s="7">
        <v>23637.316315789471</v>
      </c>
      <c r="D7" s="7">
        <v>23457.054347826092</v>
      </c>
      <c r="E7" s="7">
        <v>24550.036299212588</v>
      </c>
    </row>
    <row r="8" spans="1:5" x14ac:dyDescent="0.3">
      <c r="A8" s="5" t="s">
        <v>592</v>
      </c>
      <c r="B8" s="7">
        <v>29293.351999999995</v>
      </c>
      <c r="C8" s="7">
        <v>25984.408571428572</v>
      </c>
      <c r="D8" s="7">
        <v>24651.463333333333</v>
      </c>
      <c r="E8" s="7">
        <v>26554.675909090915</v>
      </c>
    </row>
    <row r="9" spans="1:5" x14ac:dyDescent="0.3">
      <c r="A9" s="5" t="s">
        <v>1431</v>
      </c>
      <c r="B9" s="7">
        <v>29128.492392857141</v>
      </c>
      <c r="C9" s="7">
        <v>28025.502706270621</v>
      </c>
      <c r="D9" s="7">
        <v>30383.498916666664</v>
      </c>
      <c r="E9" s="7">
        <v>28867.318719772407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6EB33-7EC0-4362-BC4B-7FAEB48C09A4}">
  <dimension ref="A3:E21"/>
  <sheetViews>
    <sheetView workbookViewId="0">
      <selection activeCell="C15" sqref="C15"/>
    </sheetView>
  </sheetViews>
  <sheetFormatPr defaultRowHeight="14.4" x14ac:dyDescent="0.3"/>
  <cols>
    <col min="1" max="1" width="18.6640625" bestFit="1" customWidth="1"/>
    <col min="2" max="2" width="15.5546875" bestFit="1" customWidth="1"/>
    <col min="3" max="4" width="10.5546875" bestFit="1" customWidth="1"/>
    <col min="5" max="5" width="10.77734375" bestFit="1" customWidth="1"/>
  </cols>
  <sheetData>
    <row r="3" spans="1:5" x14ac:dyDescent="0.3">
      <c r="A3" s="4" t="s">
        <v>1439</v>
      </c>
      <c r="B3" s="4" t="s">
        <v>1432</v>
      </c>
    </row>
    <row r="4" spans="1:5" x14ac:dyDescent="0.3">
      <c r="A4" s="4" t="s">
        <v>1430</v>
      </c>
      <c r="B4" t="s">
        <v>23</v>
      </c>
      <c r="C4" t="s">
        <v>29</v>
      </c>
      <c r="D4" t="s">
        <v>24</v>
      </c>
      <c r="E4" t="s">
        <v>1431</v>
      </c>
    </row>
    <row r="5" spans="1:5" x14ac:dyDescent="0.3">
      <c r="A5" s="5" t="s">
        <v>42</v>
      </c>
      <c r="B5" s="8">
        <v>34430.471052631561</v>
      </c>
      <c r="C5" s="8">
        <v>31099.510662650599</v>
      </c>
      <c r="D5" s="8">
        <v>21325.071428571428</v>
      </c>
      <c r="E5" s="8">
        <v>32184.208954703816</v>
      </c>
    </row>
    <row r="6" spans="1:5" x14ac:dyDescent="0.3">
      <c r="A6" s="5" t="s">
        <v>33</v>
      </c>
      <c r="B6" s="8">
        <v>28715.307678571418</v>
      </c>
      <c r="C6" s="8">
        <v>23721.452906976734</v>
      </c>
      <c r="D6" s="8">
        <v>21389.964285714286</v>
      </c>
      <c r="E6" s="8">
        <v>25488.804899328865</v>
      </c>
    </row>
    <row r="7" spans="1:5" x14ac:dyDescent="0.3">
      <c r="A7" s="5" t="s">
        <v>25</v>
      </c>
      <c r="B7" s="8">
        <v>33450.835873015865</v>
      </c>
      <c r="C7" s="8">
        <v>30385.157843137262</v>
      </c>
      <c r="D7" s="8">
        <v>21647.654999999999</v>
      </c>
      <c r="E7" s="8">
        <v>31725.731610169474</v>
      </c>
    </row>
    <row r="8" spans="1:5" x14ac:dyDescent="0.3">
      <c r="A8" s="5" t="s">
        <v>261</v>
      </c>
      <c r="B8" s="8">
        <v>33406.406666666669</v>
      </c>
      <c r="C8" s="8"/>
      <c r="D8" s="8">
        <v>22412.65</v>
      </c>
      <c r="E8" s="8">
        <v>30657.967499999999</v>
      </c>
    </row>
    <row r="9" spans="1:5" x14ac:dyDescent="0.3">
      <c r="A9" s="5" t="s">
        <v>133</v>
      </c>
      <c r="B9" s="8">
        <v>39556.49</v>
      </c>
      <c r="C9" s="8">
        <v>26907.877499999995</v>
      </c>
      <c r="D9" s="8"/>
      <c r="E9" s="8">
        <v>29437.599999999995</v>
      </c>
    </row>
    <row r="10" spans="1:5" x14ac:dyDescent="0.3">
      <c r="A10" s="5" t="s">
        <v>59</v>
      </c>
      <c r="B10" s="8">
        <v>39868.616250000006</v>
      </c>
      <c r="C10" s="8">
        <v>27587.191666666666</v>
      </c>
      <c r="D10" s="8">
        <v>20277.810000000001</v>
      </c>
      <c r="E10" s="8">
        <v>33649.992666666672</v>
      </c>
    </row>
    <row r="11" spans="1:5" x14ac:dyDescent="0.3">
      <c r="A11" s="5" t="s">
        <v>206</v>
      </c>
      <c r="B11" s="8">
        <v>34070.595714285715</v>
      </c>
      <c r="C11" s="8">
        <v>22996.254000000001</v>
      </c>
      <c r="D11" s="8"/>
      <c r="E11" s="8">
        <v>29456.286666666667</v>
      </c>
    </row>
    <row r="12" spans="1:5" x14ac:dyDescent="0.3">
      <c r="A12" s="5" t="s">
        <v>565</v>
      </c>
      <c r="B12" s="8">
        <v>33475.82</v>
      </c>
      <c r="C12" s="8">
        <v>18818.014999999999</v>
      </c>
      <c r="D12" s="8"/>
      <c r="E12" s="8">
        <v>23703.95</v>
      </c>
    </row>
    <row r="13" spans="1:5" x14ac:dyDescent="0.3">
      <c r="A13" s="5" t="s">
        <v>361</v>
      </c>
      <c r="B13" s="8">
        <v>27621.609999999997</v>
      </c>
      <c r="C13" s="8">
        <v>17178.68</v>
      </c>
      <c r="D13" s="8">
        <v>21476.813333333335</v>
      </c>
      <c r="E13" s="8">
        <v>24413.018888888888</v>
      </c>
    </row>
    <row r="14" spans="1:5" x14ac:dyDescent="0.3">
      <c r="A14" s="5" t="s">
        <v>1301</v>
      </c>
      <c r="B14" s="8"/>
      <c r="C14" s="8">
        <v>14809.3</v>
      </c>
      <c r="D14" s="8"/>
      <c r="E14" s="8">
        <v>14809.3</v>
      </c>
    </row>
    <row r="15" spans="1:5" x14ac:dyDescent="0.3">
      <c r="A15" s="5" t="s">
        <v>1262</v>
      </c>
      <c r="B15" s="8"/>
      <c r="C15" s="8">
        <v>15164.703333333333</v>
      </c>
      <c r="D15" s="8"/>
      <c r="E15" s="8">
        <v>15164.703333333333</v>
      </c>
    </row>
    <row r="16" spans="1:5" x14ac:dyDescent="0.3">
      <c r="A16" s="5" t="s">
        <v>354</v>
      </c>
      <c r="B16" s="8">
        <v>18261.7575</v>
      </c>
      <c r="C16" s="8">
        <v>17275.116428571429</v>
      </c>
      <c r="D16" s="8"/>
      <c r="E16" s="8">
        <v>17494.370000000003</v>
      </c>
    </row>
    <row r="17" spans="1:5" x14ac:dyDescent="0.3">
      <c r="A17" s="5" t="s">
        <v>36</v>
      </c>
      <c r="B17" s="8">
        <v>32732.187142857143</v>
      </c>
      <c r="C17" s="8">
        <v>21757.921379310341</v>
      </c>
      <c r="D17" s="8">
        <v>21493.744000000002</v>
      </c>
      <c r="E17" s="8">
        <v>24931.230416666673</v>
      </c>
    </row>
    <row r="18" spans="1:5" x14ac:dyDescent="0.3">
      <c r="A18" s="5" t="s">
        <v>1379</v>
      </c>
      <c r="B18" s="8"/>
      <c r="C18" s="8">
        <v>14574.64</v>
      </c>
      <c r="D18" s="8"/>
      <c r="E18" s="8">
        <v>14574.64</v>
      </c>
    </row>
    <row r="19" spans="1:5" x14ac:dyDescent="0.3">
      <c r="A19" s="5" t="s">
        <v>1000</v>
      </c>
      <c r="B19" s="8">
        <v>18709.798000000003</v>
      </c>
      <c r="C19" s="8">
        <v>15775.420526315786</v>
      </c>
      <c r="D19" s="8">
        <v>20354.5</v>
      </c>
      <c r="E19" s="8">
        <v>16545.459199999998</v>
      </c>
    </row>
    <row r="20" spans="1:5" x14ac:dyDescent="0.3">
      <c r="A20" s="5" t="s">
        <v>378</v>
      </c>
      <c r="B20" s="8">
        <v>37165.160000000003</v>
      </c>
      <c r="C20" s="8"/>
      <c r="D20" s="8"/>
      <c r="E20" s="8">
        <v>37165.160000000003</v>
      </c>
    </row>
    <row r="21" spans="1:5" x14ac:dyDescent="0.3">
      <c r="A21" s="5" t="s">
        <v>1431</v>
      </c>
      <c r="B21" s="8">
        <v>32522.510886524822</v>
      </c>
      <c r="C21" s="8">
        <v>26790.400510204101</v>
      </c>
      <c r="D21" s="8">
        <v>21397.930689655172</v>
      </c>
      <c r="E21" s="8">
        <v>28867.318719772404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06E1-AB58-48B0-BAE8-9ABD3B1AD841}">
  <dimension ref="A3:B8"/>
  <sheetViews>
    <sheetView workbookViewId="0">
      <selection activeCell="B7" sqref="B7"/>
    </sheetView>
  </sheetViews>
  <sheetFormatPr defaultRowHeight="14.4" x14ac:dyDescent="0.3"/>
  <cols>
    <col min="1" max="1" width="13.44140625" bestFit="1" customWidth="1"/>
    <col min="2" max="2" width="18.6640625" bestFit="1" customWidth="1"/>
  </cols>
  <sheetData>
    <row r="3" spans="1:2" x14ac:dyDescent="0.3">
      <c r="A3" s="4" t="s">
        <v>1430</v>
      </c>
      <c r="B3" t="s">
        <v>1439</v>
      </c>
    </row>
    <row r="4" spans="1:2" x14ac:dyDescent="0.3">
      <c r="A4" s="5" t="s">
        <v>482</v>
      </c>
      <c r="B4" s="6">
        <v>24129.580808080816</v>
      </c>
    </row>
    <row r="5" spans="1:2" x14ac:dyDescent="0.3">
      <c r="A5" s="5" t="s">
        <v>21</v>
      </c>
      <c r="B5" s="6">
        <v>31215.030945054979</v>
      </c>
    </row>
    <row r="6" spans="1:2" x14ac:dyDescent="0.3">
      <c r="A6" s="5" t="s">
        <v>333</v>
      </c>
      <c r="B6" s="6">
        <v>24550.036299212592</v>
      </c>
    </row>
    <row r="7" spans="1:2" x14ac:dyDescent="0.3">
      <c r="A7" s="5" t="s">
        <v>592</v>
      </c>
      <c r="B7" s="6">
        <v>26554.675909090907</v>
      </c>
    </row>
    <row r="8" spans="1:2" x14ac:dyDescent="0.3">
      <c r="A8" s="5" t="s">
        <v>1431</v>
      </c>
      <c r="B8" s="6">
        <v>28867.318719772433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1863-77A4-4CB7-A122-2FB5E85D258C}">
  <dimension ref="A1:B4"/>
  <sheetViews>
    <sheetView workbookViewId="0">
      <selection activeCell="A4" sqref="A4"/>
    </sheetView>
  </sheetViews>
  <sheetFormatPr defaultRowHeight="14.4" x14ac:dyDescent="0.3"/>
  <cols>
    <col min="1" max="1" width="19.33203125" bestFit="1" customWidth="1"/>
    <col min="2" max="2" width="10.33203125" bestFit="1" customWidth="1"/>
  </cols>
  <sheetData>
    <row r="1" spans="1:2" x14ac:dyDescent="0.3">
      <c r="A1" s="4" t="s">
        <v>10</v>
      </c>
      <c r="B1" t="s">
        <v>22</v>
      </c>
    </row>
    <row r="3" spans="1:2" x14ac:dyDescent="0.3">
      <c r="A3" t="s">
        <v>1433</v>
      </c>
    </row>
    <row r="4" spans="1:2" x14ac:dyDescent="0.3">
      <c r="A4" s="6">
        <v>280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DAB3-ADCF-421A-9ABE-C345B9A36241}">
  <dimension ref="A3:D7"/>
  <sheetViews>
    <sheetView workbookViewId="0">
      <selection activeCell="A3" sqref="A3"/>
    </sheetView>
  </sheetViews>
  <sheetFormatPr defaultRowHeight="14.4" x14ac:dyDescent="0.3"/>
  <cols>
    <col min="1" max="1" width="19.33203125" bestFit="1" customWidth="1"/>
    <col min="2" max="2" width="15.5546875" bestFit="1" customWidth="1"/>
    <col min="3" max="3" width="4" bestFit="1" customWidth="1"/>
    <col min="4" max="4" width="10.77734375" bestFit="1" customWidth="1"/>
  </cols>
  <sheetData>
    <row r="3" spans="1:4" x14ac:dyDescent="0.3">
      <c r="A3" s="4" t="s">
        <v>1433</v>
      </c>
      <c r="B3" s="4" t="s">
        <v>1432</v>
      </c>
    </row>
    <row r="4" spans="1:4" x14ac:dyDescent="0.3">
      <c r="A4" s="4" t="s">
        <v>1430</v>
      </c>
      <c r="B4" t="s">
        <v>19</v>
      </c>
      <c r="C4" t="s">
        <v>32</v>
      </c>
      <c r="D4" t="s">
        <v>1431</v>
      </c>
    </row>
    <row r="5" spans="1:4" x14ac:dyDescent="0.3">
      <c r="A5" s="5" t="s">
        <v>19</v>
      </c>
      <c r="B5" s="6">
        <v>354</v>
      </c>
      <c r="C5" s="6">
        <v>226</v>
      </c>
      <c r="D5" s="6">
        <v>580</v>
      </c>
    </row>
    <row r="6" spans="1:4" x14ac:dyDescent="0.3">
      <c r="A6" s="5" t="s">
        <v>20</v>
      </c>
      <c r="B6" s="6">
        <v>60</v>
      </c>
      <c r="C6" s="6">
        <v>63</v>
      </c>
      <c r="D6" s="6">
        <v>123</v>
      </c>
    </row>
    <row r="7" spans="1:4" x14ac:dyDescent="0.3">
      <c r="A7" s="5" t="s">
        <v>1431</v>
      </c>
      <c r="B7" s="6">
        <v>414</v>
      </c>
      <c r="C7" s="6">
        <v>289</v>
      </c>
      <c r="D7" s="6">
        <v>703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2C6C2-B365-41BD-8755-94F9D7C58C0A}">
  <dimension ref="A1:D5"/>
  <sheetViews>
    <sheetView topLeftCell="A2" workbookViewId="0">
      <selection activeCell="A5" sqref="A5"/>
    </sheetView>
  </sheetViews>
  <sheetFormatPr defaultRowHeight="14.4" x14ac:dyDescent="0.3"/>
  <cols>
    <col min="1" max="1" width="19.33203125" bestFit="1" customWidth="1"/>
    <col min="2" max="2" width="15.5546875" bestFit="1" customWidth="1"/>
    <col min="3" max="3" width="3.77734375" bestFit="1" customWidth="1"/>
    <col min="4" max="4" width="10.77734375" bestFit="1" customWidth="1"/>
  </cols>
  <sheetData>
    <row r="1" spans="1:4" x14ac:dyDescent="0.3">
      <c r="A1" s="4" t="s">
        <v>9</v>
      </c>
      <c r="B1" t="s">
        <v>592</v>
      </c>
    </row>
    <row r="3" spans="1:4" x14ac:dyDescent="0.3">
      <c r="B3" s="4" t="s">
        <v>1432</v>
      </c>
    </row>
    <row r="4" spans="1:4" x14ac:dyDescent="0.3">
      <c r="B4" t="s">
        <v>19</v>
      </c>
      <c r="C4" t="s">
        <v>32</v>
      </c>
      <c r="D4" t="s">
        <v>1431</v>
      </c>
    </row>
    <row r="5" spans="1:4" x14ac:dyDescent="0.3">
      <c r="A5" t="s">
        <v>1433</v>
      </c>
      <c r="B5" s="6">
        <v>7</v>
      </c>
      <c r="C5" s="6">
        <v>15</v>
      </c>
      <c r="D5" s="6">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F8637-A4ED-42AC-AA27-19503C228CA8}">
  <dimension ref="A3:D7"/>
  <sheetViews>
    <sheetView workbookViewId="0">
      <selection activeCell="K20" sqref="K20"/>
    </sheetView>
  </sheetViews>
  <sheetFormatPr defaultRowHeight="14.4" x14ac:dyDescent="0.3"/>
  <cols>
    <col min="1" max="1" width="19.33203125" bestFit="1" customWidth="1"/>
    <col min="2" max="2" width="15.5546875" bestFit="1" customWidth="1"/>
    <col min="3" max="3" width="4" bestFit="1" customWidth="1"/>
    <col min="4" max="4" width="10.77734375" bestFit="1" customWidth="1"/>
  </cols>
  <sheetData>
    <row r="3" spans="1:4" x14ac:dyDescent="0.3">
      <c r="A3" s="4" t="s">
        <v>1433</v>
      </c>
      <c r="B3" s="4" t="s">
        <v>1432</v>
      </c>
    </row>
    <row r="4" spans="1:4" x14ac:dyDescent="0.3">
      <c r="A4" s="4" t="s">
        <v>1430</v>
      </c>
      <c r="B4" t="s">
        <v>19</v>
      </c>
      <c r="C4" t="s">
        <v>32</v>
      </c>
      <c r="D4" t="s">
        <v>1431</v>
      </c>
    </row>
    <row r="5" spans="1:4" x14ac:dyDescent="0.3">
      <c r="A5" s="5" t="s">
        <v>19</v>
      </c>
      <c r="B5" s="6">
        <v>395</v>
      </c>
      <c r="C5" s="6">
        <v>284</v>
      </c>
      <c r="D5" s="6">
        <v>679</v>
      </c>
    </row>
    <row r="6" spans="1:4" x14ac:dyDescent="0.3">
      <c r="A6" s="5" t="s">
        <v>32</v>
      </c>
      <c r="B6" s="6">
        <v>19</v>
      </c>
      <c r="C6" s="6">
        <v>5</v>
      </c>
      <c r="D6" s="6">
        <v>24</v>
      </c>
    </row>
    <row r="7" spans="1:4" x14ac:dyDescent="0.3">
      <c r="A7" s="5" t="s">
        <v>1431</v>
      </c>
      <c r="B7" s="6">
        <v>414</v>
      </c>
      <c r="C7" s="6">
        <v>289</v>
      </c>
      <c r="D7" s="6">
        <v>703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14DD-A7E2-4BC6-932D-AD718AE5C181}">
  <dimension ref="A1:E9"/>
  <sheetViews>
    <sheetView workbookViewId="0"/>
  </sheetViews>
  <sheetFormatPr defaultRowHeight="14.4" x14ac:dyDescent="0.3"/>
  <cols>
    <col min="1" max="1" width="19.33203125" bestFit="1" customWidth="1"/>
    <col min="2" max="2" width="15.5546875" bestFit="1" customWidth="1"/>
    <col min="3" max="3" width="7.21875" bestFit="1" customWidth="1"/>
    <col min="4" max="4" width="10.88671875" bestFit="1" customWidth="1"/>
    <col min="5" max="5" width="10.77734375" bestFit="1" customWidth="1"/>
  </cols>
  <sheetData>
    <row r="1" spans="1:5" x14ac:dyDescent="0.3">
      <c r="A1" s="4" t="s">
        <v>4</v>
      </c>
      <c r="B1" t="s">
        <v>32</v>
      </c>
    </row>
    <row r="3" spans="1:5" x14ac:dyDescent="0.3">
      <c r="A3" s="4" t="s">
        <v>1433</v>
      </c>
      <c r="B3" s="4" t="s">
        <v>1432</v>
      </c>
    </row>
    <row r="4" spans="1:5" x14ac:dyDescent="0.3">
      <c r="A4" s="4" t="s">
        <v>1430</v>
      </c>
      <c r="B4" t="s">
        <v>22</v>
      </c>
      <c r="C4" t="s">
        <v>39</v>
      </c>
      <c r="D4" t="s">
        <v>28</v>
      </c>
      <c r="E4" t="s">
        <v>1431</v>
      </c>
    </row>
    <row r="5" spans="1:5" x14ac:dyDescent="0.3">
      <c r="A5" s="5" t="s">
        <v>482</v>
      </c>
      <c r="B5" s="6">
        <v>13</v>
      </c>
      <c r="C5" s="6">
        <v>15</v>
      </c>
      <c r="D5" s="6">
        <v>7</v>
      </c>
      <c r="E5" s="6">
        <v>35</v>
      </c>
    </row>
    <row r="6" spans="1:5" x14ac:dyDescent="0.3">
      <c r="A6" s="5" t="s">
        <v>21</v>
      </c>
      <c r="B6" s="6">
        <v>82</v>
      </c>
      <c r="C6" s="6">
        <v>84</v>
      </c>
      <c r="D6" s="6">
        <v>26</v>
      </c>
      <c r="E6" s="6">
        <v>192</v>
      </c>
    </row>
    <row r="7" spans="1:5" x14ac:dyDescent="0.3">
      <c r="A7" s="5" t="s">
        <v>333</v>
      </c>
      <c r="B7" s="6">
        <v>21</v>
      </c>
      <c r="C7" s="6">
        <v>17</v>
      </c>
      <c r="D7" s="6">
        <v>9</v>
      </c>
      <c r="E7" s="6">
        <v>47</v>
      </c>
    </row>
    <row r="8" spans="1:5" x14ac:dyDescent="0.3">
      <c r="A8" s="5" t="s">
        <v>592</v>
      </c>
      <c r="B8" s="6">
        <v>2</v>
      </c>
      <c r="C8" s="6">
        <v>12</v>
      </c>
      <c r="D8" s="6">
        <v>1</v>
      </c>
      <c r="E8" s="6">
        <v>15</v>
      </c>
    </row>
    <row r="9" spans="1:5" x14ac:dyDescent="0.3">
      <c r="A9" s="5" t="s">
        <v>1431</v>
      </c>
      <c r="B9" s="6">
        <v>118</v>
      </c>
      <c r="C9" s="6">
        <v>128</v>
      </c>
      <c r="D9" s="6">
        <v>43</v>
      </c>
      <c r="E9" s="6">
        <v>289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B2F34-54E1-4E7E-BD69-5A6C0C740B05}">
  <dimension ref="A1:H17"/>
  <sheetViews>
    <sheetView zoomScale="69" workbookViewId="0">
      <selection activeCell="H11" sqref="H11"/>
    </sheetView>
  </sheetViews>
  <sheetFormatPr defaultRowHeight="14.4" x14ac:dyDescent="0.3"/>
  <cols>
    <col min="1" max="1" width="15.88671875" bestFit="1" customWidth="1"/>
    <col min="2" max="2" width="17" bestFit="1" customWidth="1"/>
    <col min="3" max="3" width="26" bestFit="1" customWidth="1"/>
    <col min="4" max="4" width="14.88671875" bestFit="1" customWidth="1"/>
    <col min="5" max="5" width="24.88671875" bestFit="1" customWidth="1"/>
    <col min="6" max="8" width="13.44140625" bestFit="1" customWidth="1"/>
    <col min="9" max="9" width="22.5546875" bestFit="1" customWidth="1"/>
    <col min="10" max="11" width="12" bestFit="1" customWidth="1"/>
  </cols>
  <sheetData>
    <row r="1" spans="1:8" x14ac:dyDescent="0.3">
      <c r="A1" t="s">
        <v>1440</v>
      </c>
      <c r="B1" t="s">
        <v>16</v>
      </c>
      <c r="C1" t="s">
        <v>2</v>
      </c>
      <c r="D1" t="s">
        <v>3</v>
      </c>
      <c r="E1" t="s">
        <v>12</v>
      </c>
    </row>
    <row r="2" spans="1:8" x14ac:dyDescent="0.3">
      <c r="A2" t="s">
        <v>16</v>
      </c>
      <c r="B2">
        <f>CORREL(HEALTHCARE[AGE],HEALTHCARE[AGE])</f>
        <v>1</v>
      </c>
      <c r="C2">
        <f>CORREL(HEALTHCARE[AGE],HEALTHCARE[BMI])</f>
        <v>0.10008433254537615</v>
      </c>
      <c r="D2">
        <f>CORREL(HEALTHCARE[HBA1C],HEALTHCARE[AGE])</f>
        <v>0.14267834035729798</v>
      </c>
      <c r="E2">
        <f>CORREL(HEALTHCARE[CHARGES],HEALTHCARE[AGE])</f>
        <v>4.6587711476702515E-2</v>
      </c>
    </row>
    <row r="3" spans="1:8" x14ac:dyDescent="0.3">
      <c r="A3" t="s">
        <v>2</v>
      </c>
      <c r="B3">
        <f>CORREL(HEALTHCARE[BMI],HEALTHCARE[AGE])</f>
        <v>0.10008433254537615</v>
      </c>
      <c r="C3">
        <f>CORREL(HEALTHCARE[BMI],HEALTHCARE[BMI])</f>
        <v>0.99999999999999989</v>
      </c>
      <c r="D3">
        <f>CORREL(HEALTHCARE[BMI],HEALTHCARE[HBA1C])</f>
        <v>4.8159252396345262E-2</v>
      </c>
      <c r="E3">
        <f>CORREL(HEALTHCARE[CHARGES],HEALTHCARE[BMI])</f>
        <v>0.14922705798790187</v>
      </c>
    </row>
    <row r="4" spans="1:8" x14ac:dyDescent="0.3">
      <c r="A4" t="s">
        <v>3</v>
      </c>
      <c r="B4" s="9">
        <f>CORREL(HEALTHCARE[HBA1C],HEALTHCARE[AGE])</f>
        <v>0.14267834035729798</v>
      </c>
      <c r="C4">
        <f>CORREL(HEALTHCARE[HBA1C],HEALTHCARE[BMI])</f>
        <v>4.8159252396345262E-2</v>
      </c>
      <c r="D4">
        <f>CORREL(HEALTHCARE[HBA1C],HEALTHCARE[HBA1C])</f>
        <v>1.0000000000000002</v>
      </c>
      <c r="E4">
        <f>CORREL(HEALTHCARE[CHARGES],HEALTHCARE[HBA1C])</f>
        <v>4.5492621774082823E-2</v>
      </c>
    </row>
    <row r="11" spans="1:8" x14ac:dyDescent="0.3">
      <c r="A11" s="4" t="s">
        <v>1438</v>
      </c>
      <c r="B11" s="4" t="s">
        <v>1432</v>
      </c>
    </row>
    <row r="12" spans="1:8" x14ac:dyDescent="0.3">
      <c r="B12">
        <v>4.8159252396345262E-2</v>
      </c>
      <c r="C12" t="s">
        <v>1441</v>
      </c>
      <c r="D12">
        <v>0.10008433254537615</v>
      </c>
      <c r="E12" t="s">
        <v>1442</v>
      </c>
      <c r="F12">
        <v>0.99999999999999989</v>
      </c>
      <c r="G12" t="s">
        <v>1443</v>
      </c>
      <c r="H12" t="s">
        <v>1431</v>
      </c>
    </row>
    <row r="13" spans="1:8" x14ac:dyDescent="0.3">
      <c r="A13" s="4" t="s">
        <v>1430</v>
      </c>
      <c r="B13">
        <v>1.0000000000000002</v>
      </c>
      <c r="D13">
        <v>0.14267834035729798</v>
      </c>
      <c r="F13">
        <v>4.8159252396345262E-2</v>
      </c>
    </row>
    <row r="14" spans="1:8" x14ac:dyDescent="0.3">
      <c r="A14" s="5">
        <v>0.10008433254537615</v>
      </c>
      <c r="B14" s="6"/>
      <c r="C14" s="6"/>
      <c r="D14" s="6"/>
      <c r="E14" s="6"/>
      <c r="F14" s="6">
        <v>0.14922705798790187</v>
      </c>
      <c r="G14" s="6">
        <v>0.14922705798790187</v>
      </c>
      <c r="H14" s="6">
        <v>0.14922705798790187</v>
      </c>
    </row>
    <row r="15" spans="1:8" x14ac:dyDescent="0.3">
      <c r="A15" s="5">
        <v>0.14267834035729798</v>
      </c>
      <c r="B15" s="6">
        <v>4.5492621774082823E-2</v>
      </c>
      <c r="C15" s="6">
        <v>4.5492621774082823E-2</v>
      </c>
      <c r="D15" s="6"/>
      <c r="E15" s="6"/>
      <c r="F15" s="6"/>
      <c r="G15" s="6"/>
      <c r="H15" s="6">
        <v>4.5492621774082823E-2</v>
      </c>
    </row>
    <row r="16" spans="1:8" x14ac:dyDescent="0.3">
      <c r="A16" s="5">
        <v>1</v>
      </c>
      <c r="B16" s="6"/>
      <c r="C16" s="6"/>
      <c r="D16" s="6">
        <v>4.6587711476702515E-2</v>
      </c>
      <c r="E16" s="6">
        <v>4.6587711476702515E-2</v>
      </c>
      <c r="F16" s="6"/>
      <c r="G16" s="6"/>
      <c r="H16" s="6">
        <v>4.6587711476702515E-2</v>
      </c>
    </row>
    <row r="17" spans="1:8" x14ac:dyDescent="0.3">
      <c r="A17" s="5" t="s">
        <v>1431</v>
      </c>
      <c r="B17" s="6">
        <v>4.5492621774082823E-2</v>
      </c>
      <c r="C17" s="6">
        <v>4.5492621774082823E-2</v>
      </c>
      <c r="D17" s="6">
        <v>4.6587711476702515E-2</v>
      </c>
      <c r="E17" s="6">
        <v>4.6587711476702515E-2</v>
      </c>
      <c r="F17" s="6">
        <v>0.14922705798790187</v>
      </c>
      <c r="G17" s="6">
        <v>0.14922705798790187</v>
      </c>
      <c r="H17" s="6">
        <v>0.24130739123868719</v>
      </c>
    </row>
  </sheetData>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5F1E9F-E2CE-4B42-9C61-CA910446DD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 Board</vt:lpstr>
      <vt:lpstr>HEALTHCARE</vt:lpstr>
      <vt:lpstr>Missing Values</vt:lpstr>
      <vt:lpstr>Smoker by cancer</vt:lpstr>
      <vt:lpstr>Transplant sheet</vt:lpstr>
      <vt:lpstr>Charges by Weight and Diabetics</vt:lpstr>
      <vt:lpstr>Hospital State Tier</vt:lpstr>
      <vt:lpstr>Average  Charges by Weight</vt:lpstr>
      <vt:lpstr>DIABETICS STATUS</vt:lpstr>
      <vt:lpstr>CANCER HISTORY</vt:lpstr>
      <vt:lpstr>WEIGHT STATUS</vt:lpstr>
      <vt:lpstr>ANY TRANSPLANT</vt:lpstr>
      <vt:lpstr>HEART ISSUE WEIGHT BY DIABETICS</vt:lpstr>
      <vt:lpstr>Corellation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anzilthameem14@gmail.com</dc:creator>
  <cp:lastModifiedBy>anzilthameem14@gmail.com</cp:lastModifiedBy>
  <dcterms:created xsi:type="dcterms:W3CDTF">2026-10-13T08:04:33Z</dcterms:created>
  <dcterms:modified xsi:type="dcterms:W3CDTF">2026-10-14T21:44:39Z</dcterms:modified>
</cp:coreProperties>
</file>